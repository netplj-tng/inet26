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fic\Downloads\"/>
    </mc:Choice>
  </mc:AlternateContent>
  <xr:revisionPtr revIDLastSave="0" documentId="8_{6DBE9276-8529-4839-BC79-EB36F6B3820B}" xr6:coauthVersionLast="47" xr6:coauthVersionMax="47" xr10:uidLastSave="{00000000-0000-0000-0000-000000000000}"/>
  <bookViews>
    <workbookView xWindow="-108" yWindow="-108" windowWidth="23256" windowHeight="12456" xr2:uid="{A4C2ECE3-8991-4DC3-9A45-8ABD30D94CD6}"/>
  </bookViews>
  <sheets>
    <sheet name="GENAP 2026" sheetId="1" r:id="rId1"/>
  </sheets>
  <externalReferences>
    <externalReference r:id="rId2"/>
  </externalReferences>
  <definedNames>
    <definedName name="KONVERSI">[1]KONVERSI!$A$1:$C$102</definedName>
    <definedName name="LEVEL">[1]KONVERSI!$F$1:$G$6</definedName>
    <definedName name="_xlnm.Print_Area" localSheetId="0">'GENAP 2026'!$A$1:$I$145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M10" i="1" l="1"/>
  <c r="M11" i="1"/>
  <c r="M8" i="1"/>
  <c r="M12" i="1"/>
  <c r="M9" i="1"/>
  <c r="M6" i="1"/>
  <c r="M7" i="1"/>
  <c r="X110" i="1"/>
  <c r="W110" i="1"/>
  <c r="V110" i="1"/>
  <c r="U110" i="1"/>
  <c r="T110" i="1"/>
  <c r="S110" i="1"/>
  <c r="R110" i="1"/>
  <c r="V111" i="1"/>
  <c r="X111" i="1"/>
  <c r="U111" i="1"/>
  <c r="T111" i="1"/>
  <c r="S111" i="1"/>
  <c r="R111" i="1"/>
  <c r="W111" i="1"/>
  <c r="X109" i="1"/>
  <c r="W109" i="1"/>
  <c r="V109" i="1"/>
  <c r="U109" i="1"/>
  <c r="T109" i="1"/>
  <c r="S109" i="1"/>
  <c r="R109" i="1"/>
  <c r="Y111" i="1" l="1"/>
  <c r="S112" i="1"/>
  <c r="U112" i="1"/>
  <c r="R112" i="1"/>
  <c r="Y109" i="1"/>
  <c r="T112" i="1"/>
  <c r="V112" i="1"/>
  <c r="W112" i="1"/>
  <c r="Y110" i="1"/>
  <c r="X112" i="1"/>
  <c r="Y112" i="1" l="1"/>
</calcChain>
</file>

<file path=xl/sharedStrings.xml><?xml version="1.0" encoding="utf-8"?>
<sst xmlns="http://schemas.openxmlformats.org/spreadsheetml/2006/main" count="584" uniqueCount="171">
  <si>
    <t>NO</t>
  </si>
  <si>
    <t>NIM</t>
  </si>
  <si>
    <t>NAMA MAHASISWA</t>
  </si>
  <si>
    <t>PRODI</t>
  </si>
  <si>
    <t>SEMESTER</t>
  </si>
  <si>
    <t>READING</t>
  </si>
  <si>
    <t>LISTENING</t>
  </si>
  <si>
    <t>SCORE</t>
  </si>
  <si>
    <t>TOTAL SCORE</t>
  </si>
  <si>
    <t>LEVEL</t>
  </si>
  <si>
    <t>STATUS</t>
  </si>
  <si>
    <t>JUMLAH</t>
  </si>
  <si>
    <t>Ahmad Patah</t>
  </si>
  <si>
    <t>KA</t>
  </si>
  <si>
    <t>Level 1</t>
  </si>
  <si>
    <t>Alya Fatma Syarifah</t>
  </si>
  <si>
    <t>Level 2</t>
  </si>
  <si>
    <t>Eka Aulia Salsabila</t>
  </si>
  <si>
    <t>Level 3</t>
  </si>
  <si>
    <t>Feby Fitriani Kriskianto</t>
  </si>
  <si>
    <t>Level 4</t>
  </si>
  <si>
    <t>Hoviah Houlida</t>
  </si>
  <si>
    <t>Level 5</t>
  </si>
  <si>
    <t>May Afifah Berlianty</t>
  </si>
  <si>
    <t>Level 6</t>
  </si>
  <si>
    <t>Murdi Dayu Pratama</t>
  </si>
  <si>
    <t>Level 7</t>
  </si>
  <si>
    <t>Santi Lokautari</t>
  </si>
  <si>
    <t>Siti Rohimah</t>
  </si>
  <si>
    <t>Siti Zahra Zamaika</t>
  </si>
  <si>
    <t>Solehah</t>
  </si>
  <si>
    <t>Wanda Uliyatul Aulia</t>
  </si>
  <si>
    <t>Zaskia Asshila Salwa</t>
  </si>
  <si>
    <t>Adelia Berliana Syaryanti</t>
  </si>
  <si>
    <t>MI</t>
  </si>
  <si>
    <t>Adinda Dwi Rahma Putri</t>
  </si>
  <si>
    <t>Aditya Saputra</t>
  </si>
  <si>
    <t>Advin Rabel</t>
  </si>
  <si>
    <t>Ahmad Faqih Mubarok</t>
  </si>
  <si>
    <t>Ahmad Syaki Pratama Wibowo</t>
  </si>
  <si>
    <t>Aninda Nurrizki</t>
  </si>
  <si>
    <t>Atna Aulia Khodijah</t>
  </si>
  <si>
    <t>Elok Artha Kinasih</t>
  </si>
  <si>
    <t>Fajri Ramadhan</t>
  </si>
  <si>
    <t>Fendy Pradana</t>
  </si>
  <si>
    <t>Kayla Hayya Salsabila</t>
  </si>
  <si>
    <t>M. Rizki Ramadhani</t>
  </si>
  <si>
    <t>Muhamad Dzaky Nur'kholis</t>
  </si>
  <si>
    <t>Muhamad Ozi Tibroni</t>
  </si>
  <si>
    <t>Muhammad Akbar Agustian</t>
  </si>
  <si>
    <t>Muhammad Hafidz Fauzi</t>
  </si>
  <si>
    <t>Nabila Kurniawati</t>
  </si>
  <si>
    <t>Nesha Audi Maulidia</t>
  </si>
  <si>
    <t>Olga Lukmanul Hakim</t>
  </si>
  <si>
    <t>Olivia Ferisca</t>
  </si>
  <si>
    <t>Ratna Dewanti Astutiningtias</t>
  </si>
  <si>
    <t>Rizki Andriyan</t>
  </si>
  <si>
    <t>Silfi Febriyanti</t>
  </si>
  <si>
    <t>Zulfan Al Fauzan</t>
  </si>
  <si>
    <t>Anselmus Tungga</t>
  </si>
  <si>
    <t>ABI</t>
  </si>
  <si>
    <t>Arya Gilang Ferdiansyah</t>
  </si>
  <si>
    <t>Ayu Tresna Asih</t>
  </si>
  <si>
    <t>Bunga Citra Lestari</t>
  </si>
  <si>
    <t>Daniel Trisakti</t>
  </si>
  <si>
    <t>Dewi Lutfiah Mufti</t>
  </si>
  <si>
    <t>Dhea Hermalinda Putri</t>
  </si>
  <si>
    <t>Didier Aliefh</t>
  </si>
  <si>
    <t>Eka Yuliyanti</t>
  </si>
  <si>
    <t>Fayzha Aurelya Sutisna</t>
  </si>
  <si>
    <t>Finka Elena Putri</t>
  </si>
  <si>
    <t>Fitri Tabela</t>
  </si>
  <si>
    <t>Hana Sulista</t>
  </si>
  <si>
    <t>Imam Rosidin</t>
  </si>
  <si>
    <t>Intan Narini Pratiwi</t>
  </si>
  <si>
    <t>Muhammad Nandi</t>
  </si>
  <si>
    <t>Qurratu Aini Mardiliah</t>
  </si>
  <si>
    <t>Renata Aulia Rasti</t>
  </si>
  <si>
    <t>Reza Aulia</t>
  </si>
  <si>
    <t>Rifki Syahdan Firdaus</t>
  </si>
  <si>
    <t>Sahwala Istikomariah</t>
  </si>
  <si>
    <t>Adinda Nur Irawanti</t>
  </si>
  <si>
    <t>Astri Firda Aminati</t>
  </si>
  <si>
    <t>Bella Puspita</t>
  </si>
  <si>
    <t>Eka Mulia Rahmadani</t>
  </si>
  <si>
    <t>Muhammad Alif Fadillah Said</t>
  </si>
  <si>
    <t>Muhammad Daffa Firdaus</t>
  </si>
  <si>
    <t>Nabila Safitri</t>
  </si>
  <si>
    <t>Naila Salsabila</t>
  </si>
  <si>
    <t>Putry Melida</t>
  </si>
  <si>
    <t>Raisya Salsabila Pratama</t>
  </si>
  <si>
    <t>Rajwa Nailal Khusna</t>
  </si>
  <si>
    <t>Resti Fujianih</t>
  </si>
  <si>
    <t>Ridho Fatu Rohman</t>
  </si>
  <si>
    <t>Sudinastiyan</t>
  </si>
  <si>
    <t>Vita Widyasari</t>
  </si>
  <si>
    <t>Ahmad Thoriq Rahmandani</t>
  </si>
  <si>
    <t>Chelsea Putri Rahayu</t>
  </si>
  <si>
    <t>Eka Putra Ananda</t>
  </si>
  <si>
    <t>Keira Bunga Aprilicia</t>
  </si>
  <si>
    <t>Muhamad Al Farizi</t>
  </si>
  <si>
    <t>Reynaldi Bram Pardede</t>
  </si>
  <si>
    <t>Syadidul Azmi Saefulloh</t>
  </si>
  <si>
    <t>Syifa Rezkia</t>
  </si>
  <si>
    <t>Zulfa Nailatul Fauziyah</t>
  </si>
  <si>
    <t>Azkiya Fattaya</t>
  </si>
  <si>
    <t>Eva Gista Pratiwi</t>
  </si>
  <si>
    <t>Fauzan Nurzaman</t>
  </si>
  <si>
    <t>Ita Sintia</t>
  </si>
  <si>
    <t>Mochamad Fauzan Fadhillah</t>
  </si>
  <si>
    <t>Mohammad Angga Putra</t>
  </si>
  <si>
    <t>Pebrian</t>
  </si>
  <si>
    <t>Rifki Putra Purnama</t>
  </si>
  <si>
    <t>Tridevi Wulandari</t>
  </si>
  <si>
    <t>Zaskya Rahma Albasriani</t>
  </si>
  <si>
    <t>Adinda Pratiwi</t>
  </si>
  <si>
    <t>Chaira Nur Fadillah</t>
  </si>
  <si>
    <t>Cinde Tiara Putri Andrian</t>
  </si>
  <si>
    <t>Michael Joan Kotambonan</t>
  </si>
  <si>
    <t>Muhammad Ikhsan</t>
  </si>
  <si>
    <t>Nabila Zahra</t>
  </si>
  <si>
    <t>Nuril Kamilah Cantika</t>
  </si>
  <si>
    <t>Refa Juliana Rahman</t>
  </si>
  <si>
    <t>T</t>
  </si>
  <si>
    <t>Seli Widya Rahmawati</t>
  </si>
  <si>
    <t>Sheryl Cahya Adinda</t>
  </si>
  <si>
    <t>Shifa Fauzyyah Azhar</t>
  </si>
  <si>
    <t>Tata Aditya Yusuf Saputra</t>
  </si>
  <si>
    <t>TOTAL</t>
  </si>
  <si>
    <t>Tiara Vasielia Novianti</t>
  </si>
  <si>
    <t>Trisha Aloina Mende</t>
  </si>
  <si>
    <t>Aditiya Hadi Siswanto</t>
  </si>
  <si>
    <t>Arina Nazla Muflihah</t>
  </si>
  <si>
    <t>Arya Sudama</t>
  </si>
  <si>
    <t>Fardhan Adzky Maula</t>
  </si>
  <si>
    <t>Muhamad Damar Abdilah</t>
  </si>
  <si>
    <t>Muhamad Raflyansah Putra</t>
  </si>
  <si>
    <t>Muhammad Fauzan</t>
  </si>
  <si>
    <t>Muhammad Hafizd Al Khadafi</t>
  </si>
  <si>
    <t>Ridwan Maulana</t>
  </si>
  <si>
    <t>Safrina Khofsah</t>
  </si>
  <si>
    <t>Siti Robia Adawiyah</t>
  </si>
  <si>
    <t>Abyyan Sulthan Yasik</t>
  </si>
  <si>
    <t>Achmad Moryno Malik Aziz</t>
  </si>
  <si>
    <t>Ahin Wirya</t>
  </si>
  <si>
    <t>Dinda Pajri Agustin</t>
  </si>
  <si>
    <t>Hanum Chairunisa</t>
  </si>
  <si>
    <t>Huan Farel Rabbani</t>
  </si>
  <si>
    <t>Indah Maulida Amanda Tirta</t>
  </si>
  <si>
    <t>Mela Dewi</t>
  </si>
  <si>
    <t>Muhamad Arifin Jaelani</t>
  </si>
  <si>
    <t>Muhammad Aldo Yumam</t>
  </si>
  <si>
    <t>Na'ilah Zaafarani Hafizhah</t>
  </si>
  <si>
    <t>Natasya Sisca Florida Siallagan</t>
  </si>
  <si>
    <t>Nesa Agustinaidah</t>
  </si>
  <si>
    <t>Putri Nadilla Safitri</t>
  </si>
  <si>
    <t>Shelly Ratu Rahmadani</t>
  </si>
  <si>
    <t>Silvi Indriyani Putri</t>
  </si>
  <si>
    <t>Siti Aulia Faza Rahma</t>
  </si>
  <si>
    <t>Siti Fadilah</t>
  </si>
  <si>
    <t>Siti Qurratul U'yyun</t>
  </si>
  <si>
    <t>Sri Nur Syahidah</t>
  </si>
  <si>
    <t>Suci Amanah Putri</t>
  </si>
  <si>
    <t>* TOEIC Score ini menjadi ajang mengasah kemampuan mahasiswa/i sebelum kegiatan TOEIC ITC berlangsung di Semester Akhir</t>
  </si>
  <si>
    <t>* Setiap mahasiswa ditargetkan untuk mencapai TOEIC Score minimal 405</t>
  </si>
  <si>
    <t>Pemula</t>
  </si>
  <si>
    <t>Dasar</t>
  </si>
  <si>
    <t>Menengah</t>
  </si>
  <si>
    <t>Menengah Atas</t>
  </si>
  <si>
    <t/>
  </si>
  <si>
    <t>TOEIC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</si>
</sst>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@"/>
    <numFmt numFmtId="165" formatCode="0;\ 0;\ "/>
  </numFmts>
  <fonts count="5" x14ac:knownFonts="1">
    <font>
      <sz val="10"/>
      <color theme="1"/>
      <name val="Roboto"/>
      <family val="2"/>
    </font>
    <font>
      <b/>
      <sz val="12"/>
      <color theme="1"/>
      <name val="Roboto"/>
    </font>
    <font>
      <b/>
      <sz val="10"/>
      <color theme="1"/>
      <name val="Roboto"/>
    </font>
    <font>
      <b/>
      <sz val="10"/>
      <color theme="0"/>
      <name val="Roboto"/>
    </font>
    <font>
      <b/>
      <i/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fic\Downloads\Documents\TOEIC%202026.xlsx" TargetMode="External"/><Relationship Id="rId1" Type="http://schemas.openxmlformats.org/officeDocument/2006/relationships/externalLinkPath" Target="Documents/TOEIC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NVERSI"/>
      <sheetName val="GENAP 2026"/>
    </sheetNames>
    <sheetDataSet>
      <sheetData sheetId="0">
        <row r="1">
          <cell r="A1" t="str">
            <v>Jawaban Benar</v>
          </cell>
          <cell r="B1" t="str">
            <v>Listening</v>
          </cell>
          <cell r="C1" t="str">
            <v>Reading</v>
          </cell>
          <cell r="F1" t="str">
            <v>Score</v>
          </cell>
          <cell r="G1" t="str">
            <v>Level</v>
          </cell>
        </row>
        <row r="2">
          <cell r="A2">
            <v>0</v>
          </cell>
          <cell r="B2">
            <v>5</v>
          </cell>
          <cell r="C2">
            <v>5</v>
          </cell>
          <cell r="F2">
            <v>10</v>
          </cell>
          <cell r="G2" t="str">
            <v>Level 1</v>
          </cell>
        </row>
        <row r="3">
          <cell r="A3">
            <v>1</v>
          </cell>
          <cell r="B3">
            <v>5</v>
          </cell>
          <cell r="C3">
            <v>5</v>
          </cell>
          <cell r="F3">
            <v>255</v>
          </cell>
          <cell r="G3" t="str">
            <v>Level 2</v>
          </cell>
        </row>
        <row r="4">
          <cell r="A4">
            <v>2</v>
          </cell>
          <cell r="B4">
            <v>5</v>
          </cell>
          <cell r="C4">
            <v>5</v>
          </cell>
          <cell r="F4">
            <v>405</v>
          </cell>
          <cell r="G4" t="str">
            <v>Level 3</v>
          </cell>
        </row>
        <row r="5">
          <cell r="A5">
            <v>3</v>
          </cell>
          <cell r="B5">
            <v>5</v>
          </cell>
          <cell r="C5">
            <v>5</v>
          </cell>
          <cell r="F5">
            <v>605</v>
          </cell>
          <cell r="G5" t="str">
            <v>Level 4</v>
          </cell>
        </row>
        <row r="6">
          <cell r="A6">
            <v>4</v>
          </cell>
          <cell r="B6">
            <v>5</v>
          </cell>
          <cell r="C6">
            <v>5</v>
          </cell>
          <cell r="F6">
            <v>785</v>
          </cell>
          <cell r="G6" t="str">
            <v>Level 5</v>
          </cell>
        </row>
        <row r="7">
          <cell r="A7">
            <v>5</v>
          </cell>
          <cell r="B7">
            <v>5</v>
          </cell>
          <cell r="C7">
            <v>5</v>
          </cell>
        </row>
        <row r="8">
          <cell r="A8">
            <v>6</v>
          </cell>
          <cell r="B8">
            <v>5</v>
          </cell>
          <cell r="C8">
            <v>5</v>
          </cell>
        </row>
        <row r="9">
          <cell r="A9">
            <v>7</v>
          </cell>
          <cell r="B9">
            <v>10</v>
          </cell>
          <cell r="C9">
            <v>5</v>
          </cell>
        </row>
        <row r="10">
          <cell r="A10">
            <v>8</v>
          </cell>
          <cell r="B10">
            <v>15</v>
          </cell>
          <cell r="C10">
            <v>5</v>
          </cell>
        </row>
        <row r="11">
          <cell r="A11">
            <v>9</v>
          </cell>
          <cell r="B11">
            <v>20</v>
          </cell>
          <cell r="C11">
            <v>5</v>
          </cell>
        </row>
        <row r="12">
          <cell r="A12">
            <v>10</v>
          </cell>
          <cell r="B12">
            <v>25</v>
          </cell>
          <cell r="C12">
            <v>5</v>
          </cell>
        </row>
        <row r="13">
          <cell r="A13">
            <v>11</v>
          </cell>
          <cell r="B13">
            <v>30</v>
          </cell>
          <cell r="C13">
            <v>5</v>
          </cell>
        </row>
        <row r="14">
          <cell r="A14">
            <v>12</v>
          </cell>
          <cell r="B14">
            <v>35</v>
          </cell>
          <cell r="C14">
            <v>5</v>
          </cell>
        </row>
        <row r="15">
          <cell r="A15">
            <v>13</v>
          </cell>
          <cell r="B15">
            <v>40</v>
          </cell>
          <cell r="C15">
            <v>5</v>
          </cell>
        </row>
        <row r="16">
          <cell r="A16">
            <v>14</v>
          </cell>
          <cell r="B16">
            <v>45</v>
          </cell>
          <cell r="C16">
            <v>5</v>
          </cell>
        </row>
        <row r="17">
          <cell r="A17">
            <v>15</v>
          </cell>
          <cell r="B17">
            <v>50</v>
          </cell>
          <cell r="C17">
            <v>5</v>
          </cell>
        </row>
        <row r="18">
          <cell r="A18">
            <v>16</v>
          </cell>
          <cell r="B18">
            <v>55</v>
          </cell>
          <cell r="C18">
            <v>10</v>
          </cell>
        </row>
        <row r="19">
          <cell r="A19">
            <v>17</v>
          </cell>
          <cell r="B19">
            <v>60</v>
          </cell>
          <cell r="C19">
            <v>15</v>
          </cell>
        </row>
        <row r="20">
          <cell r="A20">
            <v>18</v>
          </cell>
          <cell r="B20">
            <v>65</v>
          </cell>
          <cell r="C20">
            <v>20</v>
          </cell>
        </row>
        <row r="21">
          <cell r="A21">
            <v>19</v>
          </cell>
          <cell r="B21">
            <v>70</v>
          </cell>
          <cell r="C21">
            <v>25</v>
          </cell>
        </row>
        <row r="22">
          <cell r="A22">
            <v>20</v>
          </cell>
          <cell r="B22">
            <v>75</v>
          </cell>
          <cell r="C22">
            <v>30</v>
          </cell>
        </row>
        <row r="23">
          <cell r="A23">
            <v>21</v>
          </cell>
          <cell r="B23">
            <v>80</v>
          </cell>
          <cell r="C23">
            <v>35</v>
          </cell>
        </row>
        <row r="24">
          <cell r="A24">
            <v>22</v>
          </cell>
          <cell r="B24">
            <v>85</v>
          </cell>
          <cell r="C24">
            <v>40</v>
          </cell>
        </row>
        <row r="25">
          <cell r="A25">
            <v>23</v>
          </cell>
          <cell r="B25">
            <v>90</v>
          </cell>
          <cell r="C25">
            <v>45</v>
          </cell>
        </row>
        <row r="26">
          <cell r="A26">
            <v>24</v>
          </cell>
          <cell r="B26">
            <v>95</v>
          </cell>
          <cell r="C26">
            <v>50</v>
          </cell>
        </row>
        <row r="27">
          <cell r="A27">
            <v>25</v>
          </cell>
          <cell r="B27">
            <v>100</v>
          </cell>
          <cell r="C27">
            <v>60</v>
          </cell>
        </row>
        <row r="28">
          <cell r="A28">
            <v>26</v>
          </cell>
          <cell r="B28">
            <v>110</v>
          </cell>
          <cell r="C28">
            <v>65</v>
          </cell>
        </row>
        <row r="29">
          <cell r="A29">
            <v>27</v>
          </cell>
          <cell r="B29">
            <v>115</v>
          </cell>
          <cell r="C29">
            <v>70</v>
          </cell>
        </row>
        <row r="30">
          <cell r="A30">
            <v>28</v>
          </cell>
          <cell r="B30">
            <v>120</v>
          </cell>
          <cell r="C30">
            <v>80</v>
          </cell>
        </row>
        <row r="31">
          <cell r="A31">
            <v>29</v>
          </cell>
          <cell r="B31">
            <v>125</v>
          </cell>
          <cell r="C31">
            <v>85</v>
          </cell>
        </row>
        <row r="32">
          <cell r="A32">
            <v>30</v>
          </cell>
          <cell r="B32">
            <v>130</v>
          </cell>
          <cell r="C32">
            <v>90</v>
          </cell>
        </row>
        <row r="33">
          <cell r="A33">
            <v>31</v>
          </cell>
          <cell r="B33">
            <v>135</v>
          </cell>
          <cell r="C33">
            <v>95</v>
          </cell>
        </row>
        <row r="34">
          <cell r="A34">
            <v>32</v>
          </cell>
          <cell r="B34">
            <v>140</v>
          </cell>
          <cell r="C34">
            <v>100</v>
          </cell>
        </row>
        <row r="35">
          <cell r="A35">
            <v>33</v>
          </cell>
          <cell r="B35">
            <v>145</v>
          </cell>
          <cell r="C35">
            <v>110</v>
          </cell>
        </row>
        <row r="36">
          <cell r="A36">
            <v>34</v>
          </cell>
          <cell r="B36">
            <v>150</v>
          </cell>
          <cell r="C36">
            <v>115</v>
          </cell>
        </row>
        <row r="37">
          <cell r="A37">
            <v>35</v>
          </cell>
          <cell r="B37">
            <v>160</v>
          </cell>
          <cell r="C37">
            <v>120</v>
          </cell>
        </row>
        <row r="38">
          <cell r="A38">
            <v>36</v>
          </cell>
          <cell r="B38">
            <v>165</v>
          </cell>
          <cell r="C38">
            <v>125</v>
          </cell>
        </row>
        <row r="39">
          <cell r="A39">
            <v>37</v>
          </cell>
          <cell r="B39">
            <v>170</v>
          </cell>
          <cell r="C39">
            <v>130</v>
          </cell>
        </row>
        <row r="40">
          <cell r="A40">
            <v>38</v>
          </cell>
          <cell r="B40">
            <v>175</v>
          </cell>
          <cell r="C40">
            <v>140</v>
          </cell>
        </row>
        <row r="41">
          <cell r="A41">
            <v>39</v>
          </cell>
          <cell r="B41">
            <v>180</v>
          </cell>
          <cell r="C41">
            <v>145</v>
          </cell>
        </row>
        <row r="42">
          <cell r="A42">
            <v>40</v>
          </cell>
          <cell r="B42">
            <v>185</v>
          </cell>
          <cell r="C42">
            <v>150</v>
          </cell>
        </row>
        <row r="43">
          <cell r="A43">
            <v>41</v>
          </cell>
          <cell r="B43">
            <v>190</v>
          </cell>
          <cell r="C43">
            <v>160</v>
          </cell>
        </row>
        <row r="44">
          <cell r="A44">
            <v>42</v>
          </cell>
          <cell r="B44">
            <v>195</v>
          </cell>
          <cell r="C44">
            <v>165</v>
          </cell>
        </row>
        <row r="45">
          <cell r="A45">
            <v>43</v>
          </cell>
          <cell r="B45">
            <v>200</v>
          </cell>
          <cell r="C45">
            <v>170</v>
          </cell>
        </row>
        <row r="46">
          <cell r="A46">
            <v>44</v>
          </cell>
          <cell r="B46">
            <v>210</v>
          </cell>
          <cell r="C46">
            <v>175</v>
          </cell>
        </row>
        <row r="47">
          <cell r="A47">
            <v>45</v>
          </cell>
          <cell r="B47">
            <v>215</v>
          </cell>
          <cell r="C47">
            <v>180</v>
          </cell>
        </row>
        <row r="48">
          <cell r="A48">
            <v>46</v>
          </cell>
          <cell r="B48">
            <v>220</v>
          </cell>
          <cell r="C48">
            <v>190</v>
          </cell>
        </row>
        <row r="49">
          <cell r="A49">
            <v>47</v>
          </cell>
          <cell r="B49">
            <v>230</v>
          </cell>
          <cell r="C49">
            <v>195</v>
          </cell>
        </row>
        <row r="50">
          <cell r="A50">
            <v>48</v>
          </cell>
          <cell r="B50">
            <v>240</v>
          </cell>
          <cell r="C50">
            <v>200</v>
          </cell>
        </row>
        <row r="51">
          <cell r="A51">
            <v>49</v>
          </cell>
          <cell r="B51">
            <v>245</v>
          </cell>
          <cell r="C51">
            <v>210</v>
          </cell>
        </row>
        <row r="52">
          <cell r="A52">
            <v>50</v>
          </cell>
          <cell r="B52">
            <v>250</v>
          </cell>
          <cell r="C52">
            <v>215</v>
          </cell>
        </row>
        <row r="53">
          <cell r="A53">
            <v>51</v>
          </cell>
          <cell r="B53">
            <v>255</v>
          </cell>
          <cell r="C53">
            <v>220</v>
          </cell>
        </row>
        <row r="54">
          <cell r="A54">
            <v>52</v>
          </cell>
          <cell r="B54">
            <v>260</v>
          </cell>
          <cell r="C54">
            <v>225</v>
          </cell>
        </row>
        <row r="55">
          <cell r="A55">
            <v>53</v>
          </cell>
          <cell r="B55">
            <v>270</v>
          </cell>
          <cell r="C55">
            <v>230</v>
          </cell>
        </row>
        <row r="56">
          <cell r="A56">
            <v>54</v>
          </cell>
          <cell r="B56">
            <v>275</v>
          </cell>
          <cell r="C56">
            <v>235</v>
          </cell>
        </row>
        <row r="57">
          <cell r="A57">
            <v>55</v>
          </cell>
          <cell r="B57">
            <v>280</v>
          </cell>
          <cell r="C57">
            <v>240</v>
          </cell>
        </row>
        <row r="58">
          <cell r="A58">
            <v>56</v>
          </cell>
          <cell r="B58">
            <v>290</v>
          </cell>
          <cell r="C58">
            <v>250</v>
          </cell>
        </row>
        <row r="59">
          <cell r="A59">
            <v>57</v>
          </cell>
          <cell r="B59">
            <v>295</v>
          </cell>
          <cell r="C59">
            <v>255</v>
          </cell>
        </row>
        <row r="60">
          <cell r="A60">
            <v>58</v>
          </cell>
          <cell r="B60">
            <v>300</v>
          </cell>
          <cell r="C60">
            <v>260</v>
          </cell>
        </row>
        <row r="61">
          <cell r="A61">
            <v>59</v>
          </cell>
          <cell r="B61">
            <v>310</v>
          </cell>
          <cell r="C61">
            <v>265</v>
          </cell>
        </row>
        <row r="62">
          <cell r="A62">
            <v>60</v>
          </cell>
          <cell r="B62">
            <v>315</v>
          </cell>
          <cell r="C62">
            <v>270</v>
          </cell>
        </row>
        <row r="63">
          <cell r="A63">
            <v>61</v>
          </cell>
          <cell r="B63">
            <v>320</v>
          </cell>
          <cell r="C63">
            <v>280</v>
          </cell>
        </row>
        <row r="64">
          <cell r="A64">
            <v>62</v>
          </cell>
          <cell r="B64">
            <v>325</v>
          </cell>
          <cell r="C64">
            <v>285</v>
          </cell>
        </row>
        <row r="65">
          <cell r="A65">
            <v>63</v>
          </cell>
          <cell r="B65">
            <v>330</v>
          </cell>
          <cell r="C65">
            <v>290</v>
          </cell>
        </row>
        <row r="66">
          <cell r="A66">
            <v>64</v>
          </cell>
          <cell r="B66">
            <v>340</v>
          </cell>
          <cell r="C66">
            <v>300</v>
          </cell>
        </row>
        <row r="67">
          <cell r="A67">
            <v>65</v>
          </cell>
          <cell r="B67">
            <v>345</v>
          </cell>
          <cell r="C67">
            <v>305</v>
          </cell>
        </row>
        <row r="68">
          <cell r="A68">
            <v>66</v>
          </cell>
          <cell r="B68">
            <v>350</v>
          </cell>
          <cell r="C68">
            <v>310</v>
          </cell>
        </row>
        <row r="69">
          <cell r="A69">
            <v>67</v>
          </cell>
          <cell r="B69">
            <v>360</v>
          </cell>
          <cell r="C69">
            <v>320</v>
          </cell>
        </row>
        <row r="70">
          <cell r="A70">
            <v>68</v>
          </cell>
          <cell r="B70">
            <v>365</v>
          </cell>
          <cell r="C70">
            <v>325</v>
          </cell>
        </row>
        <row r="71">
          <cell r="A71">
            <v>69</v>
          </cell>
          <cell r="B71">
            <v>370</v>
          </cell>
          <cell r="C71">
            <v>330</v>
          </cell>
        </row>
        <row r="72">
          <cell r="A72">
            <v>70</v>
          </cell>
          <cell r="B72">
            <v>380</v>
          </cell>
          <cell r="C72">
            <v>335</v>
          </cell>
        </row>
        <row r="73">
          <cell r="A73">
            <v>71</v>
          </cell>
          <cell r="B73">
            <v>385</v>
          </cell>
          <cell r="C73">
            <v>340</v>
          </cell>
        </row>
        <row r="74">
          <cell r="A74">
            <v>72</v>
          </cell>
          <cell r="B74">
            <v>390</v>
          </cell>
          <cell r="C74">
            <v>350</v>
          </cell>
        </row>
        <row r="75">
          <cell r="A75">
            <v>73</v>
          </cell>
          <cell r="B75">
            <v>395</v>
          </cell>
          <cell r="C75">
            <v>355</v>
          </cell>
        </row>
        <row r="76">
          <cell r="A76">
            <v>74</v>
          </cell>
          <cell r="B76">
            <v>400</v>
          </cell>
          <cell r="C76">
            <v>360</v>
          </cell>
        </row>
        <row r="77">
          <cell r="A77">
            <v>75</v>
          </cell>
          <cell r="B77">
            <v>405</v>
          </cell>
          <cell r="C77">
            <v>365</v>
          </cell>
        </row>
        <row r="78">
          <cell r="A78">
            <v>76</v>
          </cell>
          <cell r="B78">
            <v>410</v>
          </cell>
          <cell r="C78">
            <v>370</v>
          </cell>
        </row>
        <row r="79">
          <cell r="A79">
            <v>77</v>
          </cell>
          <cell r="B79">
            <v>420</v>
          </cell>
          <cell r="C79">
            <v>380</v>
          </cell>
        </row>
        <row r="80">
          <cell r="A80">
            <v>78</v>
          </cell>
          <cell r="B80">
            <v>425</v>
          </cell>
          <cell r="C80">
            <v>385</v>
          </cell>
        </row>
        <row r="81">
          <cell r="A81">
            <v>79</v>
          </cell>
          <cell r="B81">
            <v>430</v>
          </cell>
          <cell r="C81">
            <v>390</v>
          </cell>
        </row>
        <row r="82">
          <cell r="A82">
            <v>80</v>
          </cell>
          <cell r="B82">
            <v>440</v>
          </cell>
          <cell r="C82">
            <v>395</v>
          </cell>
        </row>
        <row r="83">
          <cell r="A83">
            <v>81</v>
          </cell>
          <cell r="B83">
            <v>445</v>
          </cell>
          <cell r="C83">
            <v>400</v>
          </cell>
        </row>
        <row r="84">
          <cell r="A84">
            <v>82</v>
          </cell>
          <cell r="B84">
            <v>450</v>
          </cell>
          <cell r="C84">
            <v>405</v>
          </cell>
        </row>
        <row r="85">
          <cell r="A85">
            <v>83</v>
          </cell>
          <cell r="B85">
            <v>460</v>
          </cell>
          <cell r="C85">
            <v>410</v>
          </cell>
        </row>
        <row r="86">
          <cell r="A86">
            <v>84</v>
          </cell>
          <cell r="B86">
            <v>465</v>
          </cell>
          <cell r="C86">
            <v>415</v>
          </cell>
        </row>
        <row r="87">
          <cell r="A87">
            <v>85</v>
          </cell>
          <cell r="B87">
            <v>470</v>
          </cell>
          <cell r="C87">
            <v>420</v>
          </cell>
        </row>
        <row r="88">
          <cell r="A88">
            <v>86</v>
          </cell>
          <cell r="B88">
            <v>475</v>
          </cell>
          <cell r="C88">
            <v>425</v>
          </cell>
        </row>
        <row r="89">
          <cell r="A89">
            <v>87</v>
          </cell>
          <cell r="B89">
            <v>480</v>
          </cell>
          <cell r="C89">
            <v>430</v>
          </cell>
        </row>
        <row r="90">
          <cell r="A90">
            <v>88</v>
          </cell>
          <cell r="B90">
            <v>485</v>
          </cell>
          <cell r="C90">
            <v>435</v>
          </cell>
        </row>
        <row r="91">
          <cell r="A91">
            <v>89</v>
          </cell>
          <cell r="B91">
            <v>490</v>
          </cell>
          <cell r="C91">
            <v>445</v>
          </cell>
        </row>
        <row r="92">
          <cell r="A92">
            <v>90</v>
          </cell>
          <cell r="B92">
            <v>495</v>
          </cell>
          <cell r="C92">
            <v>450</v>
          </cell>
        </row>
        <row r="93">
          <cell r="A93">
            <v>91</v>
          </cell>
          <cell r="B93">
            <v>495</v>
          </cell>
          <cell r="C93">
            <v>455</v>
          </cell>
        </row>
        <row r="94">
          <cell r="A94">
            <v>92</v>
          </cell>
          <cell r="B94">
            <v>495</v>
          </cell>
          <cell r="C94">
            <v>465</v>
          </cell>
        </row>
        <row r="95">
          <cell r="A95">
            <v>93</v>
          </cell>
          <cell r="B95">
            <v>495</v>
          </cell>
          <cell r="C95">
            <v>470</v>
          </cell>
        </row>
        <row r="96">
          <cell r="A96">
            <v>94</v>
          </cell>
          <cell r="B96">
            <v>495</v>
          </cell>
          <cell r="C96">
            <v>480</v>
          </cell>
        </row>
        <row r="97">
          <cell r="A97">
            <v>95</v>
          </cell>
          <cell r="B97">
            <v>495</v>
          </cell>
          <cell r="C97">
            <v>485</v>
          </cell>
        </row>
        <row r="98">
          <cell r="A98">
            <v>96</v>
          </cell>
          <cell r="B98">
            <v>495</v>
          </cell>
          <cell r="C98">
            <v>490</v>
          </cell>
        </row>
        <row r="99">
          <cell r="A99">
            <v>97</v>
          </cell>
          <cell r="B99">
            <v>495</v>
          </cell>
          <cell r="C99">
            <v>495</v>
          </cell>
        </row>
        <row r="100">
          <cell r="A100">
            <v>98</v>
          </cell>
          <cell r="B100">
            <v>495</v>
          </cell>
          <cell r="C100">
            <v>495</v>
          </cell>
        </row>
        <row r="101">
          <cell r="A101">
            <v>99</v>
          </cell>
          <cell r="B101">
            <v>495</v>
          </cell>
          <cell r="C101">
            <v>495</v>
          </cell>
        </row>
        <row r="102">
          <cell r="A102">
            <v>100</v>
          </cell>
          <cell r="B102">
            <v>495</v>
          </cell>
          <cell r="C102">
            <v>495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1637-94E8-4581-BE07-ACB913E9F6A9}">
  <dimension ref="A1:Y149"/>
  <sheetViews>
    <sheetView showGridLines="0" tabSelected="1" zoomScale="74" workbookViewId="0">
      <pane ySplit="5" topLeftCell="A6" activePane="bottomLeft" state="frozen"/>
      <selection pane="bottomLeft" activeCell="J9" sqref="J9"/>
    </sheetView>
  </sheetViews>
  <sheetFormatPr defaultRowHeight="18" customHeight="1" x14ac:dyDescent="0.25"/>
  <cols>
    <col min="1" max="1" width="4.69921875" style="3" customWidth="1"/>
    <col min="2" max="2" width="13.69921875" style="3" hidden="1" customWidth="1"/>
    <col min="3" max="3" width="28.69921875" style="2" customWidth="1"/>
    <col min="4" max="4" width="8.69921875" style="3" customWidth="1"/>
    <col min="5" max="8" width="10.69921875" style="3" customWidth="1"/>
    <col min="9" max="9" width="12.59765625" style="3" customWidth="1"/>
    <col min="10" max="10" width="12.69921875" style="3" bestFit="1" customWidth="1"/>
    <col min="11" max="17" width="8.796875" style="2"/>
    <col min="18" max="25" width="4.69921875" style="3" customWidth="1"/>
    <col min="26" max="16384" width="8.796875" style="2"/>
  </cols>
  <sheetData>
    <row r="1" spans="1:13" ht="15" customHeight="1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3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 x14ac:dyDescent="0.25"/>
    <row r="4" spans="1:13" ht="15" customHeight="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7</v>
      </c>
      <c r="G4" s="6"/>
      <c r="H4" s="7" t="s">
        <v>8</v>
      </c>
      <c r="I4" s="7" t="s">
        <v>9</v>
      </c>
      <c r="J4" s="7" t="s">
        <v>10</v>
      </c>
      <c r="L4" s="7" t="s">
        <v>9</v>
      </c>
      <c r="M4" s="7" t="s">
        <v>11</v>
      </c>
    </row>
    <row r="5" spans="1:13" ht="15" customHeight="1" x14ac:dyDescent="0.25">
      <c r="A5" s="8"/>
      <c r="B5" s="8"/>
      <c r="C5" s="8"/>
      <c r="D5" s="8"/>
      <c r="E5" s="8"/>
      <c r="F5" s="9" t="s">
        <v>5</v>
      </c>
      <c r="G5" s="9" t="s">
        <v>6</v>
      </c>
      <c r="H5" s="10"/>
      <c r="I5" s="10"/>
      <c r="J5" s="10"/>
      <c r="L5" s="10"/>
      <c r="M5" s="10"/>
    </row>
    <row r="6" spans="1:13" ht="18" customHeight="1" x14ac:dyDescent="0.25">
      <c r="A6" s="11">
        <v>1</v>
      </c>
      <c r="B6" s="12">
        <v>240221040011</v>
      </c>
      <c r="C6" s="13" t="s">
        <v>25</v>
      </c>
      <c r="D6" s="14" t="s">
        <v>13</v>
      </c>
      <c r="E6" s="11">
        <v>4</v>
      </c>
      <c r="F6" s="15">
        <v>330</v>
      </c>
      <c r="G6" s="15">
        <v>325</v>
      </c>
      <c r="H6" s="15">
        <v>655</v>
      </c>
      <c r="I6" s="15" t="s">
        <v>20</v>
      </c>
      <c r="J6" s="15" t="s">
        <v>168</v>
      </c>
      <c r="L6" s="11" t="s">
        <v>14</v>
      </c>
      <c r="M6" s="11">
        <f>COUNTIF($I$6:$I$143,L6)</f>
        <v>68</v>
      </c>
    </row>
    <row r="7" spans="1:13" ht="18" customHeight="1" x14ac:dyDescent="0.25">
      <c r="A7" s="11">
        <f t="shared" ref="A7:A70" si="0">A6+1</f>
        <v>2</v>
      </c>
      <c r="B7" s="12">
        <v>240221040006</v>
      </c>
      <c r="C7" s="13" t="s">
        <v>118</v>
      </c>
      <c r="D7" s="14" t="s">
        <v>13</v>
      </c>
      <c r="E7" s="11">
        <v>0</v>
      </c>
      <c r="F7" s="15">
        <v>310</v>
      </c>
      <c r="G7" s="15">
        <v>300</v>
      </c>
      <c r="H7" s="15">
        <v>610</v>
      </c>
      <c r="I7" s="15" t="s">
        <v>20</v>
      </c>
      <c r="J7" s="15" t="s">
        <v>168</v>
      </c>
      <c r="L7" s="11" t="s">
        <v>16</v>
      </c>
      <c r="M7" s="11">
        <f>COUNTIF($I$6:$I$143,L7)</f>
        <v>53</v>
      </c>
    </row>
    <row r="8" spans="1:13" ht="18" customHeight="1" x14ac:dyDescent="0.25">
      <c r="A8" s="11">
        <f t="shared" si="0"/>
        <v>3</v>
      </c>
      <c r="B8" s="12">
        <v>240221040007</v>
      </c>
      <c r="C8" s="13" t="s">
        <v>35</v>
      </c>
      <c r="D8" s="14" t="s">
        <v>34</v>
      </c>
      <c r="E8" s="11">
        <v>4</v>
      </c>
      <c r="F8" s="15">
        <v>195</v>
      </c>
      <c r="G8" s="15">
        <v>320</v>
      </c>
      <c r="H8" s="15">
        <v>515</v>
      </c>
      <c r="I8" s="15" t="s">
        <v>18</v>
      </c>
      <c r="J8" s="15" t="s">
        <v>167</v>
      </c>
      <c r="L8" s="11" t="s">
        <v>18</v>
      </c>
      <c r="M8" s="11">
        <f>COUNTIF($I$6:$I$143,L8)</f>
        <v>9</v>
      </c>
    </row>
    <row r="9" spans="1:13" ht="18" customHeight="1" x14ac:dyDescent="0.25">
      <c r="A9" s="11">
        <f t="shared" si="0"/>
        <v>4</v>
      </c>
      <c r="B9" s="12">
        <v>240221040005</v>
      </c>
      <c r="C9" s="13" t="s">
        <v>125</v>
      </c>
      <c r="D9" s="14" t="s">
        <v>13</v>
      </c>
      <c r="E9" s="11">
        <v>0</v>
      </c>
      <c r="F9" s="15">
        <v>210</v>
      </c>
      <c r="G9" s="15">
        <v>260</v>
      </c>
      <c r="H9" s="15">
        <v>470</v>
      </c>
      <c r="I9" s="15" t="s">
        <v>18</v>
      </c>
      <c r="J9" s="15" t="s">
        <v>167</v>
      </c>
      <c r="L9" s="11" t="s">
        <v>20</v>
      </c>
      <c r="M9" s="11">
        <f>COUNTIF($I$6:$I$143,L9)</f>
        <v>2</v>
      </c>
    </row>
    <row r="10" spans="1:13" ht="18" customHeight="1" x14ac:dyDescent="0.25">
      <c r="A10" s="11">
        <f t="shared" si="0"/>
        <v>5</v>
      </c>
      <c r="B10" s="12">
        <v>240221040003</v>
      </c>
      <c r="C10" s="13" t="s">
        <v>127</v>
      </c>
      <c r="D10" s="14" t="s">
        <v>13</v>
      </c>
      <c r="E10" s="11">
        <v>0</v>
      </c>
      <c r="F10" s="15">
        <v>355</v>
      </c>
      <c r="G10" s="15">
        <v>115</v>
      </c>
      <c r="H10" s="15">
        <v>470</v>
      </c>
      <c r="I10" s="15" t="s">
        <v>18</v>
      </c>
      <c r="J10" s="15" t="s">
        <v>167</v>
      </c>
      <c r="L10" s="11" t="s">
        <v>22</v>
      </c>
      <c r="M10" s="11">
        <f>COUNTIF($I$6:$I$143,L10)</f>
        <v>0</v>
      </c>
    </row>
    <row r="11" spans="1:13" ht="18" customHeight="1" x14ac:dyDescent="0.25">
      <c r="A11" s="11">
        <f t="shared" si="0"/>
        <v>6</v>
      </c>
      <c r="B11" s="12">
        <v>240221040014</v>
      </c>
      <c r="C11" s="13" t="s">
        <v>21</v>
      </c>
      <c r="D11" s="14" t="s">
        <v>13</v>
      </c>
      <c r="E11" s="11">
        <v>4</v>
      </c>
      <c r="F11" s="15">
        <v>180</v>
      </c>
      <c r="G11" s="15">
        <v>255</v>
      </c>
      <c r="H11" s="15">
        <v>435</v>
      </c>
      <c r="I11" s="15" t="s">
        <v>18</v>
      </c>
      <c r="J11" s="15" t="s">
        <v>167</v>
      </c>
      <c r="L11" s="11" t="s">
        <v>24</v>
      </c>
      <c r="M11" s="11">
        <f>COUNTIF($I$6:$I$143,L11)</f>
        <v>0</v>
      </c>
    </row>
    <row r="12" spans="1:13" ht="18" customHeight="1" x14ac:dyDescent="0.25">
      <c r="A12" s="11">
        <f t="shared" si="0"/>
        <v>7</v>
      </c>
      <c r="B12" s="12">
        <v>240221040012</v>
      </c>
      <c r="C12" s="13" t="s">
        <v>101</v>
      </c>
      <c r="D12" s="14" t="s">
        <v>34</v>
      </c>
      <c r="E12" s="11">
        <v>2</v>
      </c>
      <c r="F12" s="15">
        <v>175</v>
      </c>
      <c r="G12" s="15">
        <v>260</v>
      </c>
      <c r="H12" s="15">
        <v>435</v>
      </c>
      <c r="I12" s="15" t="s">
        <v>18</v>
      </c>
      <c r="J12" s="15" t="s">
        <v>167</v>
      </c>
      <c r="L12" s="11" t="s">
        <v>26</v>
      </c>
      <c r="M12" s="11">
        <f>COUNTIF($I$6:$I$143,L12)</f>
        <v>0</v>
      </c>
    </row>
    <row r="13" spans="1:13" ht="18" customHeight="1" x14ac:dyDescent="0.25">
      <c r="A13" s="11">
        <f t="shared" si="0"/>
        <v>8</v>
      </c>
      <c r="B13" s="12">
        <v>240221040013</v>
      </c>
      <c r="C13" s="13" t="s">
        <v>77</v>
      </c>
      <c r="D13" s="14" t="s">
        <v>60</v>
      </c>
      <c r="E13" s="11">
        <v>4</v>
      </c>
      <c r="F13" s="15">
        <v>180</v>
      </c>
      <c r="G13" s="15">
        <v>250</v>
      </c>
      <c r="H13" s="15">
        <v>430</v>
      </c>
      <c r="I13" s="15" t="s">
        <v>18</v>
      </c>
      <c r="J13" s="15" t="s">
        <v>167</v>
      </c>
    </row>
    <row r="14" spans="1:13" ht="18" customHeight="1" x14ac:dyDescent="0.25">
      <c r="A14" s="11">
        <f t="shared" si="0"/>
        <v>9</v>
      </c>
      <c r="B14" s="12">
        <v>240221040002</v>
      </c>
      <c r="C14" s="13" t="s">
        <v>27</v>
      </c>
      <c r="D14" s="14" t="s">
        <v>13</v>
      </c>
      <c r="E14" s="11">
        <v>4</v>
      </c>
      <c r="F14" s="15">
        <v>175</v>
      </c>
      <c r="G14" s="15">
        <v>245</v>
      </c>
      <c r="H14" s="15">
        <v>420</v>
      </c>
      <c r="I14" s="15" t="s">
        <v>18</v>
      </c>
      <c r="J14" s="15" t="s">
        <v>167</v>
      </c>
    </row>
    <row r="15" spans="1:13" ht="18" customHeight="1" x14ac:dyDescent="0.25">
      <c r="A15" s="11">
        <f t="shared" si="0"/>
        <v>10</v>
      </c>
      <c r="B15" s="12">
        <v>240221040008</v>
      </c>
      <c r="C15" s="13" t="s">
        <v>58</v>
      </c>
      <c r="D15" s="14" t="s">
        <v>34</v>
      </c>
      <c r="E15" s="11">
        <v>4</v>
      </c>
      <c r="F15" s="15">
        <v>160</v>
      </c>
      <c r="G15" s="15">
        <v>255</v>
      </c>
      <c r="H15" s="15">
        <v>415</v>
      </c>
      <c r="I15" s="15" t="s">
        <v>18</v>
      </c>
      <c r="J15" s="15" t="s">
        <v>167</v>
      </c>
    </row>
    <row r="16" spans="1:13" ht="18" customHeight="1" x14ac:dyDescent="0.25">
      <c r="A16" s="11">
        <f t="shared" si="0"/>
        <v>11</v>
      </c>
      <c r="B16" s="12">
        <v>240221040004</v>
      </c>
      <c r="C16" s="13" t="s">
        <v>142</v>
      </c>
      <c r="D16" s="14" t="s">
        <v>60</v>
      </c>
      <c r="E16" s="11">
        <v>0</v>
      </c>
      <c r="F16" s="15">
        <v>115</v>
      </c>
      <c r="G16" s="15">
        <v>290</v>
      </c>
      <c r="H16" s="15">
        <v>405</v>
      </c>
      <c r="I16" s="15" t="s">
        <v>18</v>
      </c>
      <c r="J16" s="15" t="s">
        <v>167</v>
      </c>
    </row>
    <row r="17" spans="1:10" ht="18" customHeight="1" x14ac:dyDescent="0.25">
      <c r="A17" s="11">
        <f t="shared" si="0"/>
        <v>12</v>
      </c>
      <c r="B17" s="12">
        <v>240221040009</v>
      </c>
      <c r="C17" s="13" t="s">
        <v>38</v>
      </c>
      <c r="D17" s="14" t="s">
        <v>34</v>
      </c>
      <c r="E17" s="11">
        <v>4</v>
      </c>
      <c r="F17" s="15">
        <v>170</v>
      </c>
      <c r="G17" s="15">
        <v>230</v>
      </c>
      <c r="H17" s="15">
        <v>400</v>
      </c>
      <c r="I17" s="15" t="s">
        <v>16</v>
      </c>
      <c r="J17" s="15" t="s">
        <v>166</v>
      </c>
    </row>
    <row r="18" spans="1:10" ht="18" customHeight="1" x14ac:dyDescent="0.25">
      <c r="A18" s="11">
        <f t="shared" si="0"/>
        <v>13</v>
      </c>
      <c r="B18" s="12">
        <v>240221040001</v>
      </c>
      <c r="C18" s="13" t="s">
        <v>80</v>
      </c>
      <c r="D18" s="14" t="s">
        <v>60</v>
      </c>
      <c r="E18" s="11">
        <v>4</v>
      </c>
      <c r="F18" s="15">
        <v>145</v>
      </c>
      <c r="G18" s="15">
        <v>250</v>
      </c>
      <c r="H18" s="15">
        <v>395</v>
      </c>
      <c r="I18" s="15" t="s">
        <v>16</v>
      </c>
      <c r="J18" s="15" t="s">
        <v>166</v>
      </c>
    </row>
    <row r="19" spans="1:10" ht="18" customHeight="1" x14ac:dyDescent="0.25">
      <c r="A19" s="11">
        <f t="shared" si="0"/>
        <v>14</v>
      </c>
      <c r="B19" s="12">
        <v>240444040007</v>
      </c>
      <c r="C19" s="13" t="s">
        <v>32</v>
      </c>
      <c r="D19" s="14" t="s">
        <v>13</v>
      </c>
      <c r="E19" s="11">
        <v>4</v>
      </c>
      <c r="F19" s="15">
        <v>180</v>
      </c>
      <c r="G19" s="15">
        <v>210</v>
      </c>
      <c r="H19" s="15">
        <v>390</v>
      </c>
      <c r="I19" s="15" t="s">
        <v>16</v>
      </c>
      <c r="J19" s="15" t="s">
        <v>166</v>
      </c>
    </row>
    <row r="20" spans="1:10" ht="18" customHeight="1" x14ac:dyDescent="0.25">
      <c r="A20" s="11">
        <f t="shared" si="0"/>
        <v>15</v>
      </c>
      <c r="B20" s="12">
        <v>240444040004</v>
      </c>
      <c r="C20" s="13" t="s">
        <v>117</v>
      </c>
      <c r="D20" s="14" t="s">
        <v>13</v>
      </c>
      <c r="E20" s="11">
        <v>0</v>
      </c>
      <c r="F20" s="15">
        <v>160</v>
      </c>
      <c r="G20" s="15">
        <v>230</v>
      </c>
      <c r="H20" s="15">
        <v>390</v>
      </c>
      <c r="I20" s="15" t="s">
        <v>16</v>
      </c>
      <c r="J20" s="15" t="s">
        <v>166</v>
      </c>
    </row>
    <row r="21" spans="1:10" ht="18" customHeight="1" x14ac:dyDescent="0.25">
      <c r="A21" s="11">
        <f t="shared" si="0"/>
        <v>16</v>
      </c>
      <c r="B21" s="12">
        <v>240444040020</v>
      </c>
      <c r="C21" s="13" t="s">
        <v>93</v>
      </c>
      <c r="D21" s="14" t="s">
        <v>13</v>
      </c>
      <c r="E21" s="11">
        <v>2</v>
      </c>
      <c r="F21" s="15">
        <v>170</v>
      </c>
      <c r="G21" s="15">
        <v>210</v>
      </c>
      <c r="H21" s="15">
        <v>380</v>
      </c>
      <c r="I21" s="15" t="s">
        <v>16</v>
      </c>
      <c r="J21" s="15" t="s">
        <v>166</v>
      </c>
    </row>
    <row r="22" spans="1:10" ht="18" customHeight="1" x14ac:dyDescent="0.25">
      <c r="A22" s="11">
        <f t="shared" si="0"/>
        <v>17</v>
      </c>
      <c r="B22" s="12">
        <v>240444040025</v>
      </c>
      <c r="C22" s="13" t="s">
        <v>50</v>
      </c>
      <c r="D22" s="14" t="s">
        <v>34</v>
      </c>
      <c r="E22" s="11">
        <v>4</v>
      </c>
      <c r="F22" s="15">
        <v>125</v>
      </c>
      <c r="G22" s="15">
        <v>250</v>
      </c>
      <c r="H22" s="15">
        <v>375</v>
      </c>
      <c r="I22" s="15" t="s">
        <v>16</v>
      </c>
      <c r="J22" s="15" t="s">
        <v>166</v>
      </c>
    </row>
    <row r="23" spans="1:10" ht="18" customHeight="1" x14ac:dyDescent="0.25">
      <c r="A23" s="11">
        <f t="shared" si="0"/>
        <v>18</v>
      </c>
      <c r="B23" s="12">
        <v>240444040017</v>
      </c>
      <c r="C23" s="13" t="s">
        <v>40</v>
      </c>
      <c r="D23" s="14" t="s">
        <v>34</v>
      </c>
      <c r="E23" s="11">
        <v>4</v>
      </c>
      <c r="F23" s="15">
        <v>160</v>
      </c>
      <c r="G23" s="15">
        <v>195</v>
      </c>
      <c r="H23" s="15">
        <v>355</v>
      </c>
      <c r="I23" s="15" t="s">
        <v>16</v>
      </c>
      <c r="J23" s="15" t="s">
        <v>166</v>
      </c>
    </row>
    <row r="24" spans="1:10" ht="18" customHeight="1" x14ac:dyDescent="0.25">
      <c r="A24" s="11">
        <f t="shared" si="0"/>
        <v>19</v>
      </c>
      <c r="B24" s="12">
        <v>240444040015</v>
      </c>
      <c r="C24" s="13" t="s">
        <v>51</v>
      </c>
      <c r="D24" s="14" t="s">
        <v>34</v>
      </c>
      <c r="E24" s="11">
        <v>4</v>
      </c>
      <c r="F24" s="15">
        <v>140</v>
      </c>
      <c r="G24" s="15">
        <v>215</v>
      </c>
      <c r="H24" s="15">
        <v>355</v>
      </c>
      <c r="I24" s="15" t="s">
        <v>16</v>
      </c>
      <c r="J24" s="15" t="s">
        <v>166</v>
      </c>
    </row>
    <row r="25" spans="1:10" ht="18" customHeight="1" x14ac:dyDescent="0.25">
      <c r="A25" s="11">
        <f t="shared" si="0"/>
        <v>20</v>
      </c>
      <c r="B25" s="12">
        <v>240444040002</v>
      </c>
      <c r="C25" s="13" t="s">
        <v>56</v>
      </c>
      <c r="D25" s="14" t="s">
        <v>34</v>
      </c>
      <c r="E25" s="11">
        <v>4</v>
      </c>
      <c r="F25" s="15">
        <v>170</v>
      </c>
      <c r="G25" s="15">
        <v>185</v>
      </c>
      <c r="H25" s="15">
        <v>355</v>
      </c>
      <c r="I25" s="15" t="s">
        <v>16</v>
      </c>
      <c r="J25" s="15" t="s">
        <v>166</v>
      </c>
    </row>
    <row r="26" spans="1:10" ht="18" customHeight="1" x14ac:dyDescent="0.25">
      <c r="A26" s="11">
        <f t="shared" si="0"/>
        <v>21</v>
      </c>
      <c r="B26" s="12">
        <v>240444040011</v>
      </c>
      <c r="C26" s="13" t="s">
        <v>52</v>
      </c>
      <c r="D26" s="14" t="s">
        <v>34</v>
      </c>
      <c r="E26" s="11">
        <v>4</v>
      </c>
      <c r="F26" s="15">
        <v>140</v>
      </c>
      <c r="G26" s="15">
        <v>210</v>
      </c>
      <c r="H26" s="15">
        <v>350</v>
      </c>
      <c r="I26" s="15" t="s">
        <v>16</v>
      </c>
      <c r="J26" s="15" t="s">
        <v>166</v>
      </c>
    </row>
    <row r="27" spans="1:10" ht="18" customHeight="1" x14ac:dyDescent="0.25">
      <c r="A27" s="11">
        <f t="shared" si="0"/>
        <v>22</v>
      </c>
      <c r="B27" s="12">
        <v>240444040005</v>
      </c>
      <c r="C27" s="13" t="s">
        <v>86</v>
      </c>
      <c r="D27" s="14" t="s">
        <v>13</v>
      </c>
      <c r="E27" s="11">
        <v>2</v>
      </c>
      <c r="F27" s="15">
        <v>95</v>
      </c>
      <c r="G27" s="15">
        <v>255</v>
      </c>
      <c r="H27" s="15">
        <v>350</v>
      </c>
      <c r="I27" s="15" t="s">
        <v>16</v>
      </c>
      <c r="J27" s="15" t="s">
        <v>166</v>
      </c>
    </row>
    <row r="28" spans="1:10" ht="18" customHeight="1" x14ac:dyDescent="0.25">
      <c r="A28" s="11">
        <f t="shared" si="0"/>
        <v>23</v>
      </c>
      <c r="B28" s="12">
        <v>240444040022</v>
      </c>
      <c r="C28" s="13" t="s">
        <v>109</v>
      </c>
      <c r="D28" s="14" t="s">
        <v>60</v>
      </c>
      <c r="E28" s="11">
        <v>2</v>
      </c>
      <c r="F28" s="15">
        <v>125</v>
      </c>
      <c r="G28" s="15">
        <v>220</v>
      </c>
      <c r="H28" s="15">
        <v>345</v>
      </c>
      <c r="I28" s="15" t="s">
        <v>16</v>
      </c>
      <c r="J28" s="15" t="s">
        <v>166</v>
      </c>
    </row>
    <row r="29" spans="1:10" ht="18" customHeight="1" x14ac:dyDescent="0.25">
      <c r="A29" s="11">
        <f t="shared" si="0"/>
        <v>24</v>
      </c>
      <c r="B29" s="12">
        <v>240444040010</v>
      </c>
      <c r="C29" s="13" t="s">
        <v>37</v>
      </c>
      <c r="D29" s="14" t="s">
        <v>34</v>
      </c>
      <c r="E29" s="11">
        <v>4</v>
      </c>
      <c r="F29" s="15">
        <v>150</v>
      </c>
      <c r="G29" s="15">
        <v>190</v>
      </c>
      <c r="H29" s="15">
        <v>340</v>
      </c>
      <c r="I29" s="15" t="s">
        <v>16</v>
      </c>
      <c r="J29" s="15" t="s">
        <v>166</v>
      </c>
    </row>
    <row r="30" spans="1:10" ht="18" customHeight="1" x14ac:dyDescent="0.25">
      <c r="A30" s="11">
        <f t="shared" si="0"/>
        <v>25</v>
      </c>
      <c r="B30" s="12">
        <v>240444040003</v>
      </c>
      <c r="C30" s="13" t="s">
        <v>95</v>
      </c>
      <c r="D30" s="14" t="s">
        <v>13</v>
      </c>
      <c r="E30" s="11">
        <v>2</v>
      </c>
      <c r="F30" s="15">
        <v>175</v>
      </c>
      <c r="G30" s="15">
        <v>165</v>
      </c>
      <c r="H30" s="15">
        <v>340</v>
      </c>
      <c r="I30" s="15" t="s">
        <v>16</v>
      </c>
      <c r="J30" s="15" t="s">
        <v>166</v>
      </c>
    </row>
    <row r="31" spans="1:10" ht="18" customHeight="1" x14ac:dyDescent="0.25">
      <c r="A31" s="11">
        <f t="shared" si="0"/>
        <v>26</v>
      </c>
      <c r="B31" s="12">
        <v>240444040027</v>
      </c>
      <c r="C31" s="13" t="s">
        <v>98</v>
      </c>
      <c r="D31" s="14" t="s">
        <v>34</v>
      </c>
      <c r="E31" s="11">
        <v>2</v>
      </c>
      <c r="F31" s="15">
        <v>160</v>
      </c>
      <c r="G31" s="15">
        <v>175</v>
      </c>
      <c r="H31" s="15">
        <v>335</v>
      </c>
      <c r="I31" s="15" t="s">
        <v>16</v>
      </c>
      <c r="J31" s="15" t="s">
        <v>166</v>
      </c>
    </row>
    <row r="32" spans="1:10" ht="18" customHeight="1" x14ac:dyDescent="0.25">
      <c r="A32" s="11">
        <f t="shared" si="0"/>
        <v>27</v>
      </c>
      <c r="B32" s="12">
        <v>240444040013</v>
      </c>
      <c r="C32" s="13" t="s">
        <v>54</v>
      </c>
      <c r="D32" s="14" t="s">
        <v>34</v>
      </c>
      <c r="E32" s="11">
        <v>4</v>
      </c>
      <c r="F32" s="15">
        <v>70</v>
      </c>
      <c r="G32" s="15">
        <v>255</v>
      </c>
      <c r="H32" s="15">
        <v>325</v>
      </c>
      <c r="I32" s="15" t="s">
        <v>16</v>
      </c>
      <c r="J32" s="15" t="s">
        <v>166</v>
      </c>
    </row>
    <row r="33" spans="1:10" ht="18" customHeight="1" x14ac:dyDescent="0.25">
      <c r="A33" s="11">
        <f t="shared" si="0"/>
        <v>28</v>
      </c>
      <c r="B33" s="12">
        <v>240444040019</v>
      </c>
      <c r="C33" s="13" t="s">
        <v>130</v>
      </c>
      <c r="D33" s="14" t="s">
        <v>13</v>
      </c>
      <c r="E33" s="11">
        <v>0</v>
      </c>
      <c r="F33" s="15">
        <v>125</v>
      </c>
      <c r="G33" s="15">
        <v>200</v>
      </c>
      <c r="H33" s="15">
        <v>325</v>
      </c>
      <c r="I33" s="15" t="s">
        <v>16</v>
      </c>
      <c r="J33" s="15" t="s">
        <v>166</v>
      </c>
    </row>
    <row r="34" spans="1:10" ht="18" customHeight="1" x14ac:dyDescent="0.25">
      <c r="A34" s="11">
        <f t="shared" si="0"/>
        <v>29</v>
      </c>
      <c r="B34" s="12">
        <v>240444040026</v>
      </c>
      <c r="C34" s="13" t="s">
        <v>104</v>
      </c>
      <c r="D34" s="14" t="s">
        <v>34</v>
      </c>
      <c r="E34" s="11">
        <v>2</v>
      </c>
      <c r="F34" s="15">
        <v>145</v>
      </c>
      <c r="G34" s="15">
        <v>175</v>
      </c>
      <c r="H34" s="15">
        <v>320</v>
      </c>
      <c r="I34" s="15" t="s">
        <v>16</v>
      </c>
      <c r="J34" s="15" t="s">
        <v>166</v>
      </c>
    </row>
    <row r="35" spans="1:10" ht="18" customHeight="1" x14ac:dyDescent="0.25">
      <c r="A35" s="11">
        <f t="shared" si="0"/>
        <v>30</v>
      </c>
      <c r="B35" s="12">
        <v>240444040023</v>
      </c>
      <c r="C35" s="13" t="s">
        <v>139</v>
      </c>
      <c r="D35" s="14" t="s">
        <v>34</v>
      </c>
      <c r="E35" s="11">
        <v>0</v>
      </c>
      <c r="F35" s="15">
        <v>120</v>
      </c>
      <c r="G35" s="15">
        <v>200</v>
      </c>
      <c r="H35" s="15">
        <v>320</v>
      </c>
      <c r="I35" s="15" t="s">
        <v>16</v>
      </c>
      <c r="J35" s="15" t="s">
        <v>166</v>
      </c>
    </row>
    <row r="36" spans="1:10" ht="18" customHeight="1" x14ac:dyDescent="0.25">
      <c r="A36" s="11">
        <f t="shared" si="0"/>
        <v>31</v>
      </c>
      <c r="B36" s="12">
        <v>240444040016</v>
      </c>
      <c r="C36" s="13" t="s">
        <v>33</v>
      </c>
      <c r="D36" s="14" t="s">
        <v>34</v>
      </c>
      <c r="E36" s="11">
        <v>4</v>
      </c>
      <c r="F36" s="15">
        <v>125</v>
      </c>
      <c r="G36" s="15">
        <v>190</v>
      </c>
      <c r="H36" s="15">
        <v>315</v>
      </c>
      <c r="I36" s="15" t="s">
        <v>16</v>
      </c>
      <c r="J36" s="15" t="s">
        <v>166</v>
      </c>
    </row>
    <row r="37" spans="1:10" ht="18" customHeight="1" x14ac:dyDescent="0.25">
      <c r="A37" s="11">
        <f t="shared" si="0"/>
        <v>32</v>
      </c>
      <c r="B37" s="12">
        <v>240444040009</v>
      </c>
      <c r="C37" s="13" t="s">
        <v>83</v>
      </c>
      <c r="D37" s="14" t="s">
        <v>13</v>
      </c>
      <c r="E37" s="11">
        <v>2</v>
      </c>
      <c r="F37" s="15">
        <v>115</v>
      </c>
      <c r="G37" s="15">
        <v>195</v>
      </c>
      <c r="H37" s="15">
        <v>310</v>
      </c>
      <c r="I37" s="15" t="s">
        <v>16</v>
      </c>
      <c r="J37" s="15" t="s">
        <v>166</v>
      </c>
    </row>
    <row r="38" spans="1:10" ht="18" customHeight="1" x14ac:dyDescent="0.25">
      <c r="A38" s="11">
        <f t="shared" si="0"/>
        <v>33</v>
      </c>
      <c r="B38" s="12">
        <v>240444040012</v>
      </c>
      <c r="C38" s="13" t="s">
        <v>91</v>
      </c>
      <c r="D38" s="14" t="s">
        <v>13</v>
      </c>
      <c r="E38" s="11">
        <v>2</v>
      </c>
      <c r="F38" s="15">
        <v>145</v>
      </c>
      <c r="G38" s="15">
        <v>160</v>
      </c>
      <c r="H38" s="15">
        <v>305</v>
      </c>
      <c r="I38" s="15" t="s">
        <v>16</v>
      </c>
      <c r="J38" s="15" t="s">
        <v>166</v>
      </c>
    </row>
    <row r="39" spans="1:10" ht="18" customHeight="1" x14ac:dyDescent="0.25">
      <c r="A39" s="11">
        <f t="shared" si="0"/>
        <v>34</v>
      </c>
      <c r="B39" s="12">
        <v>240444040021</v>
      </c>
      <c r="C39" s="13" t="s">
        <v>102</v>
      </c>
      <c r="D39" s="14" t="s">
        <v>34</v>
      </c>
      <c r="E39" s="11">
        <v>2</v>
      </c>
      <c r="F39" s="15">
        <v>125</v>
      </c>
      <c r="G39" s="15">
        <v>180</v>
      </c>
      <c r="H39" s="15">
        <v>305</v>
      </c>
      <c r="I39" s="15" t="s">
        <v>16</v>
      </c>
      <c r="J39" s="15" t="s">
        <v>166</v>
      </c>
    </row>
    <row r="40" spans="1:10" ht="18" customHeight="1" x14ac:dyDescent="0.25">
      <c r="A40" s="11">
        <f t="shared" si="0"/>
        <v>35</v>
      </c>
      <c r="B40" s="12">
        <v>240444040006</v>
      </c>
      <c r="C40" s="13" t="s">
        <v>114</v>
      </c>
      <c r="D40" s="14" t="s">
        <v>60</v>
      </c>
      <c r="E40" s="11">
        <v>2</v>
      </c>
      <c r="F40" s="15">
        <v>120</v>
      </c>
      <c r="G40" s="15">
        <v>185</v>
      </c>
      <c r="H40" s="15">
        <v>305</v>
      </c>
      <c r="I40" s="15" t="s">
        <v>16</v>
      </c>
      <c r="J40" s="15" t="s">
        <v>166</v>
      </c>
    </row>
    <row r="41" spans="1:10" ht="18" customHeight="1" x14ac:dyDescent="0.25">
      <c r="A41" s="11">
        <f t="shared" si="0"/>
        <v>36</v>
      </c>
      <c r="B41" s="12">
        <v>240444040008</v>
      </c>
      <c r="C41" s="13" t="s">
        <v>124</v>
      </c>
      <c r="D41" s="14" t="s">
        <v>13</v>
      </c>
      <c r="E41" s="11">
        <v>0</v>
      </c>
      <c r="F41" s="15">
        <v>110</v>
      </c>
      <c r="G41" s="15">
        <v>195</v>
      </c>
      <c r="H41" s="15">
        <v>305</v>
      </c>
      <c r="I41" s="15" t="s">
        <v>16</v>
      </c>
      <c r="J41" s="15" t="s">
        <v>166</v>
      </c>
    </row>
    <row r="42" spans="1:10" ht="18" customHeight="1" x14ac:dyDescent="0.25">
      <c r="A42" s="11">
        <f t="shared" si="0"/>
        <v>37</v>
      </c>
      <c r="B42" s="12">
        <v>240444040014</v>
      </c>
      <c r="C42" s="13" t="s">
        <v>65</v>
      </c>
      <c r="D42" s="14" t="s">
        <v>60</v>
      </c>
      <c r="E42" s="11">
        <v>4</v>
      </c>
      <c r="F42" s="15">
        <v>120</v>
      </c>
      <c r="G42" s="15">
        <v>175</v>
      </c>
      <c r="H42" s="15">
        <v>295</v>
      </c>
      <c r="I42" s="15" t="s">
        <v>16</v>
      </c>
      <c r="J42" s="15" t="s">
        <v>166</v>
      </c>
    </row>
    <row r="43" spans="1:10" ht="18" customHeight="1" x14ac:dyDescent="0.25">
      <c r="A43" s="11">
        <f t="shared" si="0"/>
        <v>38</v>
      </c>
      <c r="B43" s="12">
        <v>240444040018</v>
      </c>
      <c r="C43" s="13" t="s">
        <v>85</v>
      </c>
      <c r="D43" s="14" t="s">
        <v>13</v>
      </c>
      <c r="E43" s="11">
        <v>2</v>
      </c>
      <c r="F43" s="15">
        <v>65</v>
      </c>
      <c r="G43" s="15">
        <v>230</v>
      </c>
      <c r="H43" s="15">
        <v>295</v>
      </c>
      <c r="I43" s="15" t="s">
        <v>16</v>
      </c>
      <c r="J43" s="15" t="s">
        <v>166</v>
      </c>
    </row>
    <row r="44" spans="1:10" ht="18" customHeight="1" x14ac:dyDescent="0.25">
      <c r="A44" s="11">
        <f t="shared" si="0"/>
        <v>39</v>
      </c>
      <c r="B44" s="12">
        <v>240551040012</v>
      </c>
      <c r="C44" s="13" t="s">
        <v>108</v>
      </c>
      <c r="D44" s="14" t="s">
        <v>60</v>
      </c>
      <c r="E44" s="11">
        <v>2</v>
      </c>
      <c r="F44" s="15">
        <v>85</v>
      </c>
      <c r="G44" s="15">
        <v>210</v>
      </c>
      <c r="H44" s="15">
        <v>295</v>
      </c>
      <c r="I44" s="15" t="s">
        <v>16</v>
      </c>
      <c r="J44" s="15" t="s">
        <v>166</v>
      </c>
    </row>
    <row r="45" spans="1:10" ht="18" customHeight="1" x14ac:dyDescent="0.25">
      <c r="A45" s="11">
        <f t="shared" si="0"/>
        <v>40</v>
      </c>
      <c r="B45" s="12">
        <v>240551040010</v>
      </c>
      <c r="C45" s="13" t="s">
        <v>115</v>
      </c>
      <c r="D45" s="14" t="s">
        <v>13</v>
      </c>
      <c r="E45" s="11">
        <v>0</v>
      </c>
      <c r="F45" s="15">
        <v>125</v>
      </c>
      <c r="G45" s="15">
        <v>170</v>
      </c>
      <c r="H45" s="15">
        <v>295</v>
      </c>
      <c r="I45" s="15" t="s">
        <v>16</v>
      </c>
      <c r="J45" s="15" t="s">
        <v>166</v>
      </c>
    </row>
    <row r="46" spans="1:10" ht="18" customHeight="1" x14ac:dyDescent="0.25">
      <c r="A46" s="11">
        <f t="shared" si="0"/>
        <v>41</v>
      </c>
      <c r="B46" s="12">
        <v>240551040032</v>
      </c>
      <c r="C46" s="13" t="s">
        <v>153</v>
      </c>
      <c r="D46" s="14" t="s">
        <v>60</v>
      </c>
      <c r="E46" s="11">
        <v>0</v>
      </c>
      <c r="F46" s="15">
        <v>180</v>
      </c>
      <c r="G46" s="15">
        <v>115</v>
      </c>
      <c r="H46" s="15">
        <v>295</v>
      </c>
      <c r="I46" s="15" t="s">
        <v>16</v>
      </c>
      <c r="J46" s="15" t="s">
        <v>166</v>
      </c>
    </row>
    <row r="47" spans="1:10" ht="18" customHeight="1" x14ac:dyDescent="0.25">
      <c r="A47" s="11">
        <f t="shared" si="0"/>
        <v>42</v>
      </c>
      <c r="B47" s="12">
        <v>240551040007</v>
      </c>
      <c r="C47" s="13" t="s">
        <v>96</v>
      </c>
      <c r="D47" s="14" t="s">
        <v>34</v>
      </c>
      <c r="E47" s="11">
        <v>2</v>
      </c>
      <c r="F47" s="15">
        <v>145</v>
      </c>
      <c r="G47" s="15">
        <v>145</v>
      </c>
      <c r="H47" s="15">
        <v>290</v>
      </c>
      <c r="I47" s="15" t="s">
        <v>16</v>
      </c>
      <c r="J47" s="15" t="s">
        <v>166</v>
      </c>
    </row>
    <row r="48" spans="1:10" ht="18" customHeight="1" x14ac:dyDescent="0.25">
      <c r="A48" s="11">
        <f t="shared" si="0"/>
        <v>43</v>
      </c>
      <c r="B48" s="12">
        <v>240551040018</v>
      </c>
      <c r="C48" s="13" t="s">
        <v>103</v>
      </c>
      <c r="D48" s="14" t="s">
        <v>34</v>
      </c>
      <c r="E48" s="11">
        <v>2</v>
      </c>
      <c r="F48" s="15">
        <v>115</v>
      </c>
      <c r="G48" s="15">
        <v>175</v>
      </c>
      <c r="H48" s="15">
        <v>290</v>
      </c>
      <c r="I48" s="15" t="s">
        <v>16</v>
      </c>
      <c r="J48" s="15" t="s">
        <v>166</v>
      </c>
    </row>
    <row r="49" spans="1:10" ht="18" customHeight="1" x14ac:dyDescent="0.25">
      <c r="A49" s="11">
        <f t="shared" si="0"/>
        <v>44</v>
      </c>
      <c r="B49" s="12">
        <v>240551040027</v>
      </c>
      <c r="C49" s="13" t="s">
        <v>67</v>
      </c>
      <c r="D49" s="14" t="s">
        <v>60</v>
      </c>
      <c r="E49" s="11">
        <v>4</v>
      </c>
      <c r="F49" s="15">
        <v>90</v>
      </c>
      <c r="G49" s="15">
        <v>195</v>
      </c>
      <c r="H49" s="15">
        <v>285</v>
      </c>
      <c r="I49" s="15" t="s">
        <v>16</v>
      </c>
      <c r="J49" s="15" t="s">
        <v>166</v>
      </c>
    </row>
    <row r="50" spans="1:10" ht="18" customHeight="1" x14ac:dyDescent="0.25">
      <c r="A50" s="11">
        <f t="shared" si="0"/>
        <v>45</v>
      </c>
      <c r="B50" s="12">
        <v>240551040026</v>
      </c>
      <c r="C50" s="13" t="s">
        <v>105</v>
      </c>
      <c r="D50" s="14" t="s">
        <v>60</v>
      </c>
      <c r="E50" s="11">
        <v>2</v>
      </c>
      <c r="F50" s="15">
        <v>120</v>
      </c>
      <c r="G50" s="15">
        <v>165</v>
      </c>
      <c r="H50" s="15">
        <v>285</v>
      </c>
      <c r="I50" s="15" t="s">
        <v>16</v>
      </c>
      <c r="J50" s="15" t="s">
        <v>166</v>
      </c>
    </row>
    <row r="51" spans="1:10" ht="18" customHeight="1" x14ac:dyDescent="0.25">
      <c r="A51" s="11">
        <f t="shared" si="0"/>
        <v>46</v>
      </c>
      <c r="B51" s="12">
        <v>240551040035</v>
      </c>
      <c r="C51" s="13" t="s">
        <v>69</v>
      </c>
      <c r="D51" s="14" t="s">
        <v>60</v>
      </c>
      <c r="E51" s="11">
        <v>4</v>
      </c>
      <c r="F51" s="15">
        <v>120</v>
      </c>
      <c r="G51" s="15">
        <v>160</v>
      </c>
      <c r="H51" s="15">
        <v>280</v>
      </c>
      <c r="I51" s="15" t="s">
        <v>16</v>
      </c>
      <c r="J51" s="15" t="s">
        <v>166</v>
      </c>
    </row>
    <row r="52" spans="1:10" ht="18" customHeight="1" x14ac:dyDescent="0.25">
      <c r="A52" s="11">
        <f t="shared" si="0"/>
        <v>47</v>
      </c>
      <c r="B52" s="12">
        <v>240551040016</v>
      </c>
      <c r="C52" s="13" t="s">
        <v>111</v>
      </c>
      <c r="D52" s="14" t="s">
        <v>60</v>
      </c>
      <c r="E52" s="11">
        <v>2</v>
      </c>
      <c r="F52" s="15">
        <v>115</v>
      </c>
      <c r="G52" s="15">
        <v>165</v>
      </c>
      <c r="H52" s="15">
        <v>280</v>
      </c>
      <c r="I52" s="15" t="s">
        <v>16</v>
      </c>
      <c r="J52" s="15" t="s">
        <v>166</v>
      </c>
    </row>
    <row r="53" spans="1:10" ht="18" customHeight="1" x14ac:dyDescent="0.25">
      <c r="A53" s="11">
        <f t="shared" si="0"/>
        <v>48</v>
      </c>
      <c r="B53" s="12">
        <v>240551040003</v>
      </c>
      <c r="C53" s="13" t="s">
        <v>81</v>
      </c>
      <c r="D53" s="14" t="s">
        <v>13</v>
      </c>
      <c r="E53" s="11">
        <v>2</v>
      </c>
      <c r="F53" s="15">
        <v>90</v>
      </c>
      <c r="G53" s="15">
        <v>185</v>
      </c>
      <c r="H53" s="15">
        <v>275</v>
      </c>
      <c r="I53" s="15" t="s">
        <v>16</v>
      </c>
      <c r="J53" s="15" t="s">
        <v>166</v>
      </c>
    </row>
    <row r="54" spans="1:10" ht="18" customHeight="1" x14ac:dyDescent="0.25">
      <c r="A54" s="11">
        <f t="shared" si="0"/>
        <v>49</v>
      </c>
      <c r="B54" s="12">
        <v>240551040009</v>
      </c>
      <c r="C54" s="13" t="s">
        <v>15</v>
      </c>
      <c r="D54" s="14" t="s">
        <v>13</v>
      </c>
      <c r="E54" s="11">
        <v>4</v>
      </c>
      <c r="F54" s="15">
        <v>95</v>
      </c>
      <c r="G54" s="15">
        <v>175</v>
      </c>
      <c r="H54" s="15">
        <v>270</v>
      </c>
      <c r="I54" s="15" t="s">
        <v>16</v>
      </c>
      <c r="J54" s="15" t="s">
        <v>166</v>
      </c>
    </row>
    <row r="55" spans="1:10" ht="18" customHeight="1" x14ac:dyDescent="0.25">
      <c r="A55" s="11">
        <f t="shared" si="0"/>
        <v>50</v>
      </c>
      <c r="B55" s="12">
        <v>240551040006</v>
      </c>
      <c r="C55" s="13" t="s">
        <v>59</v>
      </c>
      <c r="D55" s="14" t="s">
        <v>60</v>
      </c>
      <c r="E55" s="11">
        <v>4</v>
      </c>
      <c r="F55" s="15">
        <v>90</v>
      </c>
      <c r="G55" s="15">
        <v>180</v>
      </c>
      <c r="H55" s="15">
        <v>270</v>
      </c>
      <c r="I55" s="15" t="s">
        <v>16</v>
      </c>
      <c r="J55" s="15" t="s">
        <v>166</v>
      </c>
    </row>
    <row r="56" spans="1:10" ht="18" customHeight="1" x14ac:dyDescent="0.25">
      <c r="A56" s="11">
        <f t="shared" si="0"/>
        <v>51</v>
      </c>
      <c r="B56" s="12">
        <v>240551040008</v>
      </c>
      <c r="C56" s="13" t="s">
        <v>70</v>
      </c>
      <c r="D56" s="14" t="s">
        <v>60</v>
      </c>
      <c r="E56" s="11">
        <v>4</v>
      </c>
      <c r="F56" s="15">
        <v>110</v>
      </c>
      <c r="G56" s="15">
        <v>160</v>
      </c>
      <c r="H56" s="15">
        <v>270</v>
      </c>
      <c r="I56" s="15" t="s">
        <v>16</v>
      </c>
      <c r="J56" s="15" t="s">
        <v>166</v>
      </c>
    </row>
    <row r="57" spans="1:10" ht="18" customHeight="1" x14ac:dyDescent="0.25">
      <c r="A57" s="11">
        <f t="shared" si="0"/>
        <v>52</v>
      </c>
      <c r="B57" s="12">
        <v>240551040019</v>
      </c>
      <c r="C57" s="13" t="s">
        <v>120</v>
      </c>
      <c r="D57" s="14" t="s">
        <v>13</v>
      </c>
      <c r="E57" s="11">
        <v>0</v>
      </c>
      <c r="F57" s="15">
        <v>100</v>
      </c>
      <c r="G57" s="15">
        <v>165</v>
      </c>
      <c r="H57" s="15">
        <v>265</v>
      </c>
      <c r="I57" s="15" t="s">
        <v>16</v>
      </c>
      <c r="J57" s="15" t="s">
        <v>166</v>
      </c>
    </row>
    <row r="58" spans="1:10" ht="18" customHeight="1" x14ac:dyDescent="0.25">
      <c r="A58" s="11">
        <f t="shared" si="0"/>
        <v>53</v>
      </c>
      <c r="B58" s="12">
        <v>240551040030</v>
      </c>
      <c r="C58" s="13" t="s">
        <v>121</v>
      </c>
      <c r="D58" s="14" t="s">
        <v>13</v>
      </c>
      <c r="E58" s="11">
        <v>0</v>
      </c>
      <c r="F58" s="15">
        <v>100</v>
      </c>
      <c r="G58" s="15">
        <v>165</v>
      </c>
      <c r="H58" s="15">
        <v>265</v>
      </c>
      <c r="I58" s="15" t="s">
        <v>16</v>
      </c>
      <c r="J58" s="15" t="s">
        <v>166</v>
      </c>
    </row>
    <row r="59" spans="1:10" ht="18" customHeight="1" x14ac:dyDescent="0.25">
      <c r="A59" s="11">
        <f t="shared" si="0"/>
        <v>54</v>
      </c>
      <c r="B59" s="12">
        <v>240551040023</v>
      </c>
      <c r="C59" s="13" t="s">
        <v>154</v>
      </c>
      <c r="D59" s="14" t="s">
        <v>60</v>
      </c>
      <c r="E59" s="11">
        <v>0</v>
      </c>
      <c r="F59" s="15">
        <v>130</v>
      </c>
      <c r="G59" s="15">
        <v>135</v>
      </c>
      <c r="H59" s="15">
        <v>265</v>
      </c>
      <c r="I59" s="15" t="s">
        <v>16</v>
      </c>
      <c r="J59" s="15" t="s">
        <v>166</v>
      </c>
    </row>
    <row r="60" spans="1:10" ht="18" customHeight="1" x14ac:dyDescent="0.25">
      <c r="A60" s="11">
        <f t="shared" si="0"/>
        <v>55</v>
      </c>
      <c r="B60" s="12">
        <v>240551040005</v>
      </c>
      <c r="C60" s="13" t="s">
        <v>43</v>
      </c>
      <c r="D60" s="14" t="s">
        <v>34</v>
      </c>
      <c r="E60" s="11">
        <v>4</v>
      </c>
      <c r="F60" s="15">
        <v>80</v>
      </c>
      <c r="G60" s="15">
        <v>180</v>
      </c>
      <c r="H60" s="15">
        <v>260</v>
      </c>
      <c r="I60" s="15" t="s">
        <v>16</v>
      </c>
      <c r="J60" s="15" t="s">
        <v>166</v>
      </c>
    </row>
    <row r="61" spans="1:10" ht="18" customHeight="1" x14ac:dyDescent="0.25">
      <c r="A61" s="11">
        <f t="shared" si="0"/>
        <v>56</v>
      </c>
      <c r="B61" s="12">
        <v>240551040036</v>
      </c>
      <c r="C61" s="13" t="s">
        <v>48</v>
      </c>
      <c r="D61" s="14" t="s">
        <v>34</v>
      </c>
      <c r="E61" s="11">
        <v>4</v>
      </c>
      <c r="F61" s="15">
        <v>110</v>
      </c>
      <c r="G61" s="15">
        <v>150</v>
      </c>
      <c r="H61" s="15">
        <v>260</v>
      </c>
      <c r="I61" s="15" t="s">
        <v>16</v>
      </c>
      <c r="J61" s="15" t="s">
        <v>166</v>
      </c>
    </row>
    <row r="62" spans="1:10" ht="18" customHeight="1" x14ac:dyDescent="0.25">
      <c r="A62" s="11">
        <f t="shared" si="0"/>
        <v>57</v>
      </c>
      <c r="B62" s="12">
        <v>240551040025</v>
      </c>
      <c r="C62" s="13" t="s">
        <v>97</v>
      </c>
      <c r="D62" s="14" t="s">
        <v>34</v>
      </c>
      <c r="E62" s="11">
        <v>2</v>
      </c>
      <c r="F62" s="15">
        <v>90</v>
      </c>
      <c r="G62" s="15">
        <v>170</v>
      </c>
      <c r="H62" s="15">
        <v>260</v>
      </c>
      <c r="I62" s="15" t="s">
        <v>16</v>
      </c>
      <c r="J62" s="15" t="s">
        <v>166</v>
      </c>
    </row>
    <row r="63" spans="1:10" ht="18" customHeight="1" x14ac:dyDescent="0.25">
      <c r="A63" s="11">
        <f t="shared" si="0"/>
        <v>58</v>
      </c>
      <c r="B63" s="12">
        <v>240551040022</v>
      </c>
      <c r="C63" s="13" t="s">
        <v>129</v>
      </c>
      <c r="D63" s="14" t="s">
        <v>13</v>
      </c>
      <c r="E63" s="11">
        <v>0</v>
      </c>
      <c r="F63" s="15">
        <v>130</v>
      </c>
      <c r="G63" s="15">
        <v>130</v>
      </c>
      <c r="H63" s="15">
        <v>260</v>
      </c>
      <c r="I63" s="15" t="s">
        <v>16</v>
      </c>
      <c r="J63" s="15" t="s">
        <v>166</v>
      </c>
    </row>
    <row r="64" spans="1:10" ht="18" customHeight="1" x14ac:dyDescent="0.25">
      <c r="A64" s="11">
        <f t="shared" si="0"/>
        <v>59</v>
      </c>
      <c r="B64" s="12">
        <v>240551040011</v>
      </c>
      <c r="C64" s="13" t="s">
        <v>131</v>
      </c>
      <c r="D64" s="14" t="s">
        <v>34</v>
      </c>
      <c r="E64" s="11">
        <v>0</v>
      </c>
      <c r="F64" s="15">
        <v>90</v>
      </c>
      <c r="G64" s="15">
        <v>170</v>
      </c>
      <c r="H64" s="15">
        <v>260</v>
      </c>
      <c r="I64" s="15" t="s">
        <v>16</v>
      </c>
      <c r="J64" s="15" t="s">
        <v>166</v>
      </c>
    </row>
    <row r="65" spans="1:10" ht="18" customHeight="1" x14ac:dyDescent="0.25">
      <c r="A65" s="11">
        <f t="shared" si="0"/>
        <v>60</v>
      </c>
      <c r="B65" s="12">
        <v>250221040017</v>
      </c>
      <c r="C65" s="13" t="s">
        <v>133</v>
      </c>
      <c r="D65" s="14" t="s">
        <v>34</v>
      </c>
      <c r="E65" s="11">
        <v>0</v>
      </c>
      <c r="F65" s="15">
        <v>110</v>
      </c>
      <c r="G65" s="15">
        <v>150</v>
      </c>
      <c r="H65" s="15">
        <v>260</v>
      </c>
      <c r="I65" s="15" t="s">
        <v>16</v>
      </c>
      <c r="J65" s="15" t="s">
        <v>166</v>
      </c>
    </row>
    <row r="66" spans="1:10" ht="18" customHeight="1" x14ac:dyDescent="0.25">
      <c r="A66" s="11">
        <f t="shared" si="0"/>
        <v>61</v>
      </c>
      <c r="B66" s="12">
        <v>250221040006</v>
      </c>
      <c r="C66" s="13" t="s">
        <v>140</v>
      </c>
      <c r="D66" s="14" t="s">
        <v>34</v>
      </c>
      <c r="E66" s="11">
        <v>0</v>
      </c>
      <c r="F66" s="15">
        <v>40</v>
      </c>
      <c r="G66" s="15">
        <v>220</v>
      </c>
      <c r="H66" s="15">
        <v>260</v>
      </c>
      <c r="I66" s="15" t="s">
        <v>16</v>
      </c>
      <c r="J66" s="15" t="s">
        <v>166</v>
      </c>
    </row>
    <row r="67" spans="1:10" ht="18" customHeight="1" x14ac:dyDescent="0.25">
      <c r="A67" s="11">
        <f t="shared" si="0"/>
        <v>62</v>
      </c>
      <c r="B67" s="12">
        <v>250221040005</v>
      </c>
      <c r="C67" s="13" t="s">
        <v>161</v>
      </c>
      <c r="D67" s="14" t="s">
        <v>60</v>
      </c>
      <c r="E67" s="11">
        <v>0</v>
      </c>
      <c r="F67" s="15">
        <v>110</v>
      </c>
      <c r="G67" s="15">
        <v>150</v>
      </c>
      <c r="H67" s="15">
        <v>260</v>
      </c>
      <c r="I67" s="15" t="s">
        <v>16</v>
      </c>
      <c r="J67" s="15" t="s">
        <v>166</v>
      </c>
    </row>
    <row r="68" spans="1:10" ht="18" customHeight="1" x14ac:dyDescent="0.25">
      <c r="A68" s="11">
        <f t="shared" si="0"/>
        <v>63</v>
      </c>
      <c r="B68" s="12">
        <v>250221040016</v>
      </c>
      <c r="C68" s="13" t="s">
        <v>84</v>
      </c>
      <c r="D68" s="14" t="s">
        <v>13</v>
      </c>
      <c r="E68" s="11">
        <v>2</v>
      </c>
      <c r="F68" s="15">
        <v>40</v>
      </c>
      <c r="G68" s="15">
        <v>215</v>
      </c>
      <c r="H68" s="15">
        <v>255</v>
      </c>
      <c r="I68" s="15" t="s">
        <v>16</v>
      </c>
      <c r="J68" s="15" t="s">
        <v>166</v>
      </c>
    </row>
    <row r="69" spans="1:10" ht="18" customHeight="1" x14ac:dyDescent="0.25">
      <c r="A69" s="11">
        <f t="shared" si="0"/>
        <v>64</v>
      </c>
      <c r="B69" s="12">
        <v>250221040014</v>
      </c>
      <c r="C69" s="13" t="s">
        <v>106</v>
      </c>
      <c r="D69" s="14" t="s">
        <v>60</v>
      </c>
      <c r="E69" s="11">
        <v>2</v>
      </c>
      <c r="F69" s="15">
        <v>90</v>
      </c>
      <c r="G69" s="15">
        <v>165</v>
      </c>
      <c r="H69" s="15">
        <v>255</v>
      </c>
      <c r="I69" s="15" t="s">
        <v>16</v>
      </c>
      <c r="J69" s="15" t="s">
        <v>166</v>
      </c>
    </row>
    <row r="70" spans="1:10" ht="18" customHeight="1" x14ac:dyDescent="0.25">
      <c r="A70" s="11">
        <f t="shared" si="0"/>
        <v>65</v>
      </c>
      <c r="B70" s="12">
        <v>250221040008</v>
      </c>
      <c r="C70" s="13" t="s">
        <v>28</v>
      </c>
      <c r="D70" s="14" t="s">
        <v>13</v>
      </c>
      <c r="E70" s="11">
        <v>4</v>
      </c>
      <c r="F70" s="15">
        <v>110</v>
      </c>
      <c r="G70" s="15">
        <v>140</v>
      </c>
      <c r="H70" s="15">
        <v>250</v>
      </c>
      <c r="I70" s="15" t="s">
        <v>14</v>
      </c>
      <c r="J70" s="15" t="s">
        <v>165</v>
      </c>
    </row>
    <row r="71" spans="1:10" ht="18" customHeight="1" x14ac:dyDescent="0.25">
      <c r="A71" s="11">
        <f t="shared" ref="A71:A134" si="1">A70+1</f>
        <v>66</v>
      </c>
      <c r="B71" s="12">
        <v>250221040007</v>
      </c>
      <c r="C71" s="13" t="s">
        <v>42</v>
      </c>
      <c r="D71" s="14" t="s">
        <v>34</v>
      </c>
      <c r="E71" s="11">
        <v>4</v>
      </c>
      <c r="F71" s="15">
        <v>50</v>
      </c>
      <c r="G71" s="15">
        <v>200</v>
      </c>
      <c r="H71" s="15">
        <v>250</v>
      </c>
      <c r="I71" s="15" t="s">
        <v>14</v>
      </c>
      <c r="J71" s="15" t="s">
        <v>165</v>
      </c>
    </row>
    <row r="72" spans="1:10" ht="18" customHeight="1" x14ac:dyDescent="0.25">
      <c r="A72" s="11">
        <f t="shared" si="1"/>
        <v>67</v>
      </c>
      <c r="B72" s="12">
        <v>250221040015</v>
      </c>
      <c r="C72" s="13" t="s">
        <v>49</v>
      </c>
      <c r="D72" s="14" t="s">
        <v>34</v>
      </c>
      <c r="E72" s="11">
        <v>4</v>
      </c>
      <c r="F72" s="15">
        <v>85</v>
      </c>
      <c r="G72" s="15">
        <v>165</v>
      </c>
      <c r="H72" s="15">
        <v>250</v>
      </c>
      <c r="I72" s="15" t="s">
        <v>14</v>
      </c>
      <c r="J72" s="15" t="s">
        <v>165</v>
      </c>
    </row>
    <row r="73" spans="1:10" ht="18" customHeight="1" x14ac:dyDescent="0.25">
      <c r="A73" s="11">
        <f t="shared" si="1"/>
        <v>68</v>
      </c>
      <c r="B73" s="12">
        <v>250221040012</v>
      </c>
      <c r="C73" s="13" t="s">
        <v>82</v>
      </c>
      <c r="D73" s="14" t="s">
        <v>13</v>
      </c>
      <c r="E73" s="11">
        <v>2</v>
      </c>
      <c r="F73" s="15">
        <v>80</v>
      </c>
      <c r="G73" s="15">
        <v>170</v>
      </c>
      <c r="H73" s="15">
        <v>250</v>
      </c>
      <c r="I73" s="15" t="s">
        <v>14</v>
      </c>
      <c r="J73" s="15" t="s">
        <v>165</v>
      </c>
    </row>
    <row r="74" spans="1:10" ht="18" customHeight="1" x14ac:dyDescent="0.25">
      <c r="A74" s="11">
        <f t="shared" si="1"/>
        <v>69</v>
      </c>
      <c r="B74" s="12">
        <v>250221040002</v>
      </c>
      <c r="C74" s="13" t="s">
        <v>88</v>
      </c>
      <c r="D74" s="14" t="s">
        <v>13</v>
      </c>
      <c r="E74" s="11">
        <v>2</v>
      </c>
      <c r="F74" s="15">
        <v>90</v>
      </c>
      <c r="G74" s="15">
        <v>160</v>
      </c>
      <c r="H74" s="15">
        <v>250</v>
      </c>
      <c r="I74" s="15" t="s">
        <v>14</v>
      </c>
      <c r="J74" s="15" t="s">
        <v>165</v>
      </c>
    </row>
    <row r="75" spans="1:10" ht="18" customHeight="1" x14ac:dyDescent="0.25">
      <c r="A75" s="11">
        <f t="shared" si="1"/>
        <v>70</v>
      </c>
      <c r="B75" s="12">
        <v>250221040003</v>
      </c>
      <c r="C75" s="13" t="s">
        <v>100</v>
      </c>
      <c r="D75" s="14" t="s">
        <v>34</v>
      </c>
      <c r="E75" s="11">
        <v>2</v>
      </c>
      <c r="F75" s="15">
        <v>70</v>
      </c>
      <c r="G75" s="15">
        <v>180</v>
      </c>
      <c r="H75" s="15">
        <v>250</v>
      </c>
      <c r="I75" s="15" t="s">
        <v>14</v>
      </c>
      <c r="J75" s="15" t="s">
        <v>165</v>
      </c>
    </row>
    <row r="76" spans="1:10" ht="18" customHeight="1" x14ac:dyDescent="0.25">
      <c r="A76" s="11">
        <f t="shared" si="1"/>
        <v>71</v>
      </c>
      <c r="B76" s="12">
        <v>250221040013</v>
      </c>
      <c r="C76" s="13" t="s">
        <v>113</v>
      </c>
      <c r="D76" s="14" t="s">
        <v>60</v>
      </c>
      <c r="E76" s="11">
        <v>2</v>
      </c>
      <c r="F76" s="15">
        <v>85</v>
      </c>
      <c r="G76" s="15">
        <v>165</v>
      </c>
      <c r="H76" s="15">
        <v>250</v>
      </c>
      <c r="I76" s="15" t="s">
        <v>14</v>
      </c>
      <c r="J76" s="15" t="s">
        <v>165</v>
      </c>
    </row>
    <row r="77" spans="1:10" ht="18" customHeight="1" x14ac:dyDescent="0.25">
      <c r="A77" s="11">
        <f t="shared" si="1"/>
        <v>72</v>
      </c>
      <c r="B77" s="12">
        <v>250221040009</v>
      </c>
      <c r="C77" s="13" t="s">
        <v>116</v>
      </c>
      <c r="D77" s="14" t="s">
        <v>13</v>
      </c>
      <c r="E77" s="11">
        <v>0</v>
      </c>
      <c r="F77" s="15">
        <v>115</v>
      </c>
      <c r="G77" s="15">
        <v>135</v>
      </c>
      <c r="H77" s="15">
        <v>250</v>
      </c>
      <c r="I77" s="15" t="s">
        <v>14</v>
      </c>
      <c r="J77" s="15" t="s">
        <v>165</v>
      </c>
    </row>
    <row r="78" spans="1:10" ht="18" customHeight="1" x14ac:dyDescent="0.25">
      <c r="A78" s="11">
        <f t="shared" si="1"/>
        <v>73</v>
      </c>
      <c r="B78" s="12">
        <v>250221040011</v>
      </c>
      <c r="C78" s="13" t="s">
        <v>152</v>
      </c>
      <c r="D78" s="14" t="s">
        <v>60</v>
      </c>
      <c r="E78" s="11">
        <v>0</v>
      </c>
      <c r="F78" s="15">
        <v>85</v>
      </c>
      <c r="G78" s="15">
        <v>165</v>
      </c>
      <c r="H78" s="15">
        <v>250</v>
      </c>
      <c r="I78" s="15" t="s">
        <v>14</v>
      </c>
      <c r="J78" s="15" t="s">
        <v>165</v>
      </c>
    </row>
    <row r="79" spans="1:10" ht="18" customHeight="1" x14ac:dyDescent="0.25">
      <c r="A79" s="11">
        <f t="shared" si="1"/>
        <v>74</v>
      </c>
      <c r="B79" s="12">
        <v>250221040010</v>
      </c>
      <c r="C79" s="13" t="s">
        <v>23</v>
      </c>
      <c r="D79" s="14" t="s">
        <v>13</v>
      </c>
      <c r="E79" s="11">
        <v>4</v>
      </c>
      <c r="F79" s="15">
        <v>110</v>
      </c>
      <c r="G79" s="15">
        <v>135</v>
      </c>
      <c r="H79" s="15">
        <v>245</v>
      </c>
      <c r="I79" s="15" t="s">
        <v>14</v>
      </c>
      <c r="J79" s="15" t="s">
        <v>165</v>
      </c>
    </row>
    <row r="80" spans="1:10" ht="18" customHeight="1" x14ac:dyDescent="0.25">
      <c r="A80" s="11">
        <f t="shared" si="1"/>
        <v>75</v>
      </c>
      <c r="B80" s="12">
        <v>250444040008</v>
      </c>
      <c r="C80" s="13" t="s">
        <v>44</v>
      </c>
      <c r="D80" s="14" t="s">
        <v>34</v>
      </c>
      <c r="E80" s="11">
        <v>4</v>
      </c>
      <c r="F80" s="15">
        <v>110</v>
      </c>
      <c r="G80" s="15">
        <v>135</v>
      </c>
      <c r="H80" s="15">
        <v>245</v>
      </c>
      <c r="I80" s="15" t="s">
        <v>14</v>
      </c>
      <c r="J80" s="15" t="s">
        <v>165</v>
      </c>
    </row>
    <row r="81" spans="1:10" ht="18" customHeight="1" x14ac:dyDescent="0.25">
      <c r="A81" s="11">
        <f t="shared" si="1"/>
        <v>76</v>
      </c>
      <c r="B81" s="12">
        <v>250444040001</v>
      </c>
      <c r="C81" s="13" t="s">
        <v>75</v>
      </c>
      <c r="D81" s="14" t="s">
        <v>60</v>
      </c>
      <c r="E81" s="11">
        <v>4</v>
      </c>
      <c r="F81" s="15">
        <v>80</v>
      </c>
      <c r="G81" s="15">
        <v>165</v>
      </c>
      <c r="H81" s="15">
        <v>245</v>
      </c>
      <c r="I81" s="15" t="s">
        <v>14</v>
      </c>
      <c r="J81" s="15" t="s">
        <v>165</v>
      </c>
    </row>
    <row r="82" spans="1:10" ht="18" customHeight="1" x14ac:dyDescent="0.25">
      <c r="A82" s="11">
        <f t="shared" si="1"/>
        <v>77</v>
      </c>
      <c r="B82" s="12">
        <v>250444040005</v>
      </c>
      <c r="C82" s="13" t="s">
        <v>99</v>
      </c>
      <c r="D82" s="14" t="s">
        <v>34</v>
      </c>
      <c r="E82" s="11">
        <v>2</v>
      </c>
      <c r="F82" s="15">
        <v>60</v>
      </c>
      <c r="G82" s="15">
        <v>185</v>
      </c>
      <c r="H82" s="15">
        <v>245</v>
      </c>
      <c r="I82" s="15" t="s">
        <v>14</v>
      </c>
      <c r="J82" s="15" t="s">
        <v>165</v>
      </c>
    </row>
    <row r="83" spans="1:10" ht="18" customHeight="1" x14ac:dyDescent="0.25">
      <c r="A83" s="11">
        <f t="shared" si="1"/>
        <v>78</v>
      </c>
      <c r="B83" s="12">
        <v>250444040004</v>
      </c>
      <c r="C83" s="13" t="s">
        <v>122</v>
      </c>
      <c r="D83" s="14" t="s">
        <v>13</v>
      </c>
      <c r="E83" s="11">
        <v>0</v>
      </c>
      <c r="F83" s="15">
        <v>70</v>
      </c>
      <c r="G83" s="15">
        <v>175</v>
      </c>
      <c r="H83" s="15">
        <v>245</v>
      </c>
      <c r="I83" s="15" t="s">
        <v>14</v>
      </c>
      <c r="J83" s="15" t="s">
        <v>165</v>
      </c>
    </row>
    <row r="84" spans="1:10" ht="18" customHeight="1" x14ac:dyDescent="0.25">
      <c r="A84" s="11">
        <f t="shared" si="1"/>
        <v>79</v>
      </c>
      <c r="B84" s="12">
        <v>250444040007</v>
      </c>
      <c r="C84" s="13" t="s">
        <v>55</v>
      </c>
      <c r="D84" s="14" t="s">
        <v>34</v>
      </c>
      <c r="E84" s="11">
        <v>4</v>
      </c>
      <c r="F84" s="15">
        <v>50</v>
      </c>
      <c r="G84" s="15">
        <v>190</v>
      </c>
      <c r="H84" s="15">
        <v>240</v>
      </c>
      <c r="I84" s="15" t="s">
        <v>14</v>
      </c>
      <c r="J84" s="15" t="s">
        <v>165</v>
      </c>
    </row>
    <row r="85" spans="1:10" ht="18" customHeight="1" x14ac:dyDescent="0.25">
      <c r="A85" s="11">
        <f t="shared" si="1"/>
        <v>80</v>
      </c>
      <c r="B85" s="12">
        <v>250444040011</v>
      </c>
      <c r="C85" s="13" t="s">
        <v>110</v>
      </c>
      <c r="D85" s="14" t="s">
        <v>60</v>
      </c>
      <c r="E85" s="11">
        <v>2</v>
      </c>
      <c r="F85" s="15">
        <v>80</v>
      </c>
      <c r="G85" s="15">
        <v>160</v>
      </c>
      <c r="H85" s="15">
        <v>240</v>
      </c>
      <c r="I85" s="15" t="s">
        <v>14</v>
      </c>
      <c r="J85" s="15" t="s">
        <v>165</v>
      </c>
    </row>
    <row r="86" spans="1:10" ht="18" customHeight="1" x14ac:dyDescent="0.25">
      <c r="A86" s="11">
        <f t="shared" si="1"/>
        <v>81</v>
      </c>
      <c r="B86" s="12">
        <v>250444040009</v>
      </c>
      <c r="C86" s="13" t="s">
        <v>134</v>
      </c>
      <c r="D86" s="14" t="s">
        <v>34</v>
      </c>
      <c r="E86" s="11">
        <v>0</v>
      </c>
      <c r="F86" s="15">
        <v>60</v>
      </c>
      <c r="G86" s="15">
        <v>180</v>
      </c>
      <c r="H86" s="15">
        <v>240</v>
      </c>
      <c r="I86" s="15" t="s">
        <v>14</v>
      </c>
      <c r="J86" s="15" t="s">
        <v>165</v>
      </c>
    </row>
    <row r="87" spans="1:10" ht="18" customHeight="1" x14ac:dyDescent="0.25">
      <c r="A87" s="11">
        <f t="shared" si="1"/>
        <v>82</v>
      </c>
      <c r="B87" s="12">
        <v>250444040002</v>
      </c>
      <c r="C87" s="13" t="s">
        <v>137</v>
      </c>
      <c r="D87" s="14" t="s">
        <v>34</v>
      </c>
      <c r="E87" s="11">
        <v>0</v>
      </c>
      <c r="F87" s="15">
        <v>65</v>
      </c>
      <c r="G87" s="15">
        <v>175</v>
      </c>
      <c r="H87" s="15">
        <v>240</v>
      </c>
      <c r="I87" s="15" t="s">
        <v>14</v>
      </c>
      <c r="J87" s="15" t="s">
        <v>165</v>
      </c>
    </row>
    <row r="88" spans="1:10" ht="18" customHeight="1" x14ac:dyDescent="0.25">
      <c r="A88" s="11">
        <f t="shared" si="1"/>
        <v>83</v>
      </c>
      <c r="B88" s="12">
        <v>250444040003</v>
      </c>
      <c r="C88" s="13" t="s">
        <v>41</v>
      </c>
      <c r="D88" s="14" t="s">
        <v>34</v>
      </c>
      <c r="E88" s="11">
        <v>4</v>
      </c>
      <c r="F88" s="15">
        <v>85</v>
      </c>
      <c r="G88" s="15">
        <v>150</v>
      </c>
      <c r="H88" s="15">
        <v>235</v>
      </c>
      <c r="I88" s="15" t="s">
        <v>14</v>
      </c>
      <c r="J88" s="15" t="s">
        <v>165</v>
      </c>
    </row>
    <row r="89" spans="1:10" ht="18" customHeight="1" x14ac:dyDescent="0.25">
      <c r="A89" s="11">
        <f t="shared" si="1"/>
        <v>84</v>
      </c>
      <c r="B89" s="12">
        <v>250444040006</v>
      </c>
      <c r="C89" s="13" t="s">
        <v>61</v>
      </c>
      <c r="D89" s="14" t="s">
        <v>60</v>
      </c>
      <c r="E89" s="11">
        <v>4</v>
      </c>
      <c r="F89" s="15">
        <v>95</v>
      </c>
      <c r="G89" s="15">
        <v>140</v>
      </c>
      <c r="H89" s="15">
        <v>235</v>
      </c>
      <c r="I89" s="15" t="s">
        <v>14</v>
      </c>
      <c r="J89" s="15" t="s">
        <v>165</v>
      </c>
    </row>
    <row r="90" spans="1:10" ht="18" customHeight="1" x14ac:dyDescent="0.25">
      <c r="A90" s="11">
        <f t="shared" si="1"/>
        <v>85</v>
      </c>
      <c r="B90" s="12">
        <v>250551040003</v>
      </c>
      <c r="C90" s="13" t="s">
        <v>89</v>
      </c>
      <c r="D90" s="14" t="s">
        <v>13</v>
      </c>
      <c r="E90" s="11">
        <v>2</v>
      </c>
      <c r="F90" s="15">
        <v>85</v>
      </c>
      <c r="G90" s="15">
        <v>150</v>
      </c>
      <c r="H90" s="15">
        <v>235</v>
      </c>
      <c r="I90" s="15" t="s">
        <v>14</v>
      </c>
      <c r="J90" s="15" t="s">
        <v>165</v>
      </c>
    </row>
    <row r="91" spans="1:10" ht="18" customHeight="1" x14ac:dyDescent="0.25">
      <c r="A91" s="11">
        <f t="shared" si="1"/>
        <v>86</v>
      </c>
      <c r="B91" s="12">
        <v>250551040002</v>
      </c>
      <c r="C91" s="13" t="s">
        <v>90</v>
      </c>
      <c r="D91" s="14" t="s">
        <v>13</v>
      </c>
      <c r="E91" s="11">
        <v>2</v>
      </c>
      <c r="F91" s="15">
        <v>90</v>
      </c>
      <c r="G91" s="15">
        <v>145</v>
      </c>
      <c r="H91" s="15">
        <v>235</v>
      </c>
      <c r="I91" s="15" t="s">
        <v>14</v>
      </c>
      <c r="J91" s="15" t="s">
        <v>165</v>
      </c>
    </row>
    <row r="92" spans="1:10" ht="18" customHeight="1" x14ac:dyDescent="0.25">
      <c r="A92" s="11">
        <f t="shared" si="1"/>
        <v>87</v>
      </c>
      <c r="B92" s="12">
        <v>250551040014</v>
      </c>
      <c r="C92" s="13" t="s">
        <v>92</v>
      </c>
      <c r="D92" s="14" t="s">
        <v>13</v>
      </c>
      <c r="E92" s="11">
        <v>2</v>
      </c>
      <c r="F92" s="15">
        <v>50</v>
      </c>
      <c r="G92" s="15">
        <v>185</v>
      </c>
      <c r="H92" s="15">
        <v>235</v>
      </c>
      <c r="I92" s="15" t="s">
        <v>14</v>
      </c>
      <c r="J92" s="15" t="s">
        <v>165</v>
      </c>
    </row>
    <row r="93" spans="1:10" ht="18" customHeight="1" x14ac:dyDescent="0.25">
      <c r="A93" s="11">
        <f t="shared" si="1"/>
        <v>88</v>
      </c>
      <c r="B93" s="12">
        <v>250551040007</v>
      </c>
      <c r="C93" s="13" t="s">
        <v>146</v>
      </c>
      <c r="D93" s="14" t="s">
        <v>60</v>
      </c>
      <c r="E93" s="11">
        <v>0</v>
      </c>
      <c r="F93" s="15">
        <v>85</v>
      </c>
      <c r="G93" s="15">
        <v>150</v>
      </c>
      <c r="H93" s="15">
        <v>235</v>
      </c>
      <c r="I93" s="15" t="s">
        <v>14</v>
      </c>
      <c r="J93" s="15" t="s">
        <v>165</v>
      </c>
    </row>
    <row r="94" spans="1:10" ht="18" customHeight="1" x14ac:dyDescent="0.25">
      <c r="A94" s="11">
        <f t="shared" si="1"/>
        <v>89</v>
      </c>
      <c r="B94" s="12">
        <v>250551040009</v>
      </c>
      <c r="C94" s="13" t="s">
        <v>157</v>
      </c>
      <c r="D94" s="14" t="s">
        <v>60</v>
      </c>
      <c r="E94" s="11">
        <v>0</v>
      </c>
      <c r="F94" s="15">
        <v>70</v>
      </c>
      <c r="G94" s="15">
        <v>165</v>
      </c>
      <c r="H94" s="15">
        <v>235</v>
      </c>
      <c r="I94" s="15" t="s">
        <v>14</v>
      </c>
      <c r="J94" s="15" t="s">
        <v>165</v>
      </c>
    </row>
    <row r="95" spans="1:10" ht="18" customHeight="1" x14ac:dyDescent="0.25">
      <c r="A95" s="11">
        <f t="shared" si="1"/>
        <v>90</v>
      </c>
      <c r="B95" s="12">
        <v>250551040015</v>
      </c>
      <c r="C95" s="13" t="s">
        <v>45</v>
      </c>
      <c r="D95" s="14" t="s">
        <v>34</v>
      </c>
      <c r="E95" s="11">
        <v>4</v>
      </c>
      <c r="F95" s="15">
        <v>90</v>
      </c>
      <c r="G95" s="15">
        <v>140</v>
      </c>
      <c r="H95" s="15">
        <v>230</v>
      </c>
      <c r="I95" s="15" t="s">
        <v>14</v>
      </c>
      <c r="J95" s="15" t="s">
        <v>165</v>
      </c>
    </row>
    <row r="96" spans="1:10" ht="18" customHeight="1" x14ac:dyDescent="0.25">
      <c r="A96" s="11">
        <f t="shared" si="1"/>
        <v>91</v>
      </c>
      <c r="B96" s="12">
        <v>250551040017</v>
      </c>
      <c r="C96" s="13" t="s">
        <v>62</v>
      </c>
      <c r="D96" s="14" t="s">
        <v>60</v>
      </c>
      <c r="E96" s="11">
        <v>4</v>
      </c>
      <c r="F96" s="15">
        <v>60</v>
      </c>
      <c r="G96" s="15">
        <v>170</v>
      </c>
      <c r="H96" s="15">
        <v>230</v>
      </c>
      <c r="I96" s="15" t="s">
        <v>14</v>
      </c>
      <c r="J96" s="15" t="s">
        <v>165</v>
      </c>
    </row>
    <row r="97" spans="1:25" ht="18" customHeight="1" x14ac:dyDescent="0.25">
      <c r="A97" s="11">
        <f t="shared" si="1"/>
        <v>92</v>
      </c>
      <c r="B97" s="12">
        <v>250551040008</v>
      </c>
      <c r="C97" s="13" t="s">
        <v>64</v>
      </c>
      <c r="D97" s="14" t="s">
        <v>60</v>
      </c>
      <c r="E97" s="11">
        <v>4</v>
      </c>
      <c r="F97" s="15">
        <v>80</v>
      </c>
      <c r="G97" s="15">
        <v>150</v>
      </c>
      <c r="H97" s="15">
        <v>230</v>
      </c>
      <c r="I97" s="15" t="s">
        <v>14</v>
      </c>
      <c r="J97" s="15" t="s">
        <v>165</v>
      </c>
    </row>
    <row r="98" spans="1:25" ht="18" customHeight="1" x14ac:dyDescent="0.25">
      <c r="A98" s="11">
        <f t="shared" si="1"/>
        <v>93</v>
      </c>
      <c r="B98" s="12">
        <v>250551040004</v>
      </c>
      <c r="C98" s="13" t="s">
        <v>132</v>
      </c>
      <c r="D98" s="14" t="s">
        <v>34</v>
      </c>
      <c r="E98" s="11">
        <v>0</v>
      </c>
      <c r="F98" s="15">
        <v>80</v>
      </c>
      <c r="G98" s="15">
        <v>150</v>
      </c>
      <c r="H98" s="15">
        <v>230</v>
      </c>
      <c r="I98" s="15" t="s">
        <v>14</v>
      </c>
      <c r="J98" s="15" t="s">
        <v>165</v>
      </c>
    </row>
    <row r="99" spans="1:25" ht="18" customHeight="1" x14ac:dyDescent="0.25">
      <c r="A99" s="11">
        <f t="shared" si="1"/>
        <v>94</v>
      </c>
      <c r="B99" s="12">
        <v>250551040012</v>
      </c>
      <c r="C99" s="13" t="s">
        <v>135</v>
      </c>
      <c r="D99" s="14" t="s">
        <v>34</v>
      </c>
      <c r="E99" s="11">
        <v>0</v>
      </c>
      <c r="F99" s="15">
        <v>40</v>
      </c>
      <c r="G99" s="15">
        <v>190</v>
      </c>
      <c r="H99" s="15">
        <v>230</v>
      </c>
      <c r="I99" s="15" t="s">
        <v>14</v>
      </c>
      <c r="J99" s="15" t="s">
        <v>165</v>
      </c>
    </row>
    <row r="100" spans="1:25" ht="18" customHeight="1" x14ac:dyDescent="0.25">
      <c r="A100" s="11">
        <f t="shared" si="1"/>
        <v>95</v>
      </c>
      <c r="B100" s="12">
        <v>250551040010</v>
      </c>
      <c r="C100" s="13" t="s">
        <v>151</v>
      </c>
      <c r="D100" s="14" t="s">
        <v>60</v>
      </c>
      <c r="E100" s="11">
        <v>0</v>
      </c>
      <c r="F100" s="15">
        <v>60</v>
      </c>
      <c r="G100" s="15">
        <v>170</v>
      </c>
      <c r="H100" s="15">
        <v>230</v>
      </c>
      <c r="I100" s="15" t="s">
        <v>14</v>
      </c>
      <c r="J100" s="15" t="s">
        <v>165</v>
      </c>
    </row>
    <row r="101" spans="1:25" ht="18" customHeight="1" x14ac:dyDescent="0.25">
      <c r="A101" s="11">
        <f t="shared" si="1"/>
        <v>96</v>
      </c>
      <c r="B101" s="12">
        <v>250551040010</v>
      </c>
      <c r="C101" s="13" t="s">
        <v>63</v>
      </c>
      <c r="D101" s="14" t="s">
        <v>60</v>
      </c>
      <c r="E101" s="11">
        <v>4</v>
      </c>
      <c r="F101" s="15">
        <v>80</v>
      </c>
      <c r="G101" s="15">
        <v>145</v>
      </c>
      <c r="H101" s="15">
        <v>225</v>
      </c>
      <c r="I101" s="15" t="s">
        <v>14</v>
      </c>
      <c r="J101" s="15" t="s">
        <v>165</v>
      </c>
    </row>
    <row r="102" spans="1:25" ht="18" customHeight="1" x14ac:dyDescent="0.25">
      <c r="A102" s="11">
        <f t="shared" si="1"/>
        <v>97</v>
      </c>
      <c r="B102" s="12">
        <v>250551040010</v>
      </c>
      <c r="C102" s="13" t="s">
        <v>71</v>
      </c>
      <c r="D102" s="14" t="s">
        <v>60</v>
      </c>
      <c r="E102" s="11">
        <v>4</v>
      </c>
      <c r="F102" s="15">
        <v>60</v>
      </c>
      <c r="G102" s="15">
        <v>165</v>
      </c>
      <c r="H102" s="15">
        <v>225</v>
      </c>
      <c r="I102" s="15" t="s">
        <v>14</v>
      </c>
      <c r="J102" s="15" t="s">
        <v>165</v>
      </c>
    </row>
    <row r="103" spans="1:25" ht="18" customHeight="1" x14ac:dyDescent="0.25">
      <c r="A103" s="11">
        <f t="shared" si="1"/>
        <v>98</v>
      </c>
      <c r="B103" s="12">
        <v>250551040010</v>
      </c>
      <c r="C103" s="13" t="s">
        <v>148</v>
      </c>
      <c r="D103" s="14" t="s">
        <v>60</v>
      </c>
      <c r="E103" s="11">
        <v>0</v>
      </c>
      <c r="F103" s="15">
        <v>80</v>
      </c>
      <c r="G103" s="15">
        <v>145</v>
      </c>
      <c r="H103" s="15">
        <v>225</v>
      </c>
      <c r="I103" s="15" t="s">
        <v>14</v>
      </c>
      <c r="J103" s="15" t="s">
        <v>165</v>
      </c>
    </row>
    <row r="104" spans="1:25" ht="18" customHeight="1" x14ac:dyDescent="0.25">
      <c r="A104" s="11">
        <f t="shared" si="1"/>
        <v>99</v>
      </c>
      <c r="B104" s="12">
        <v>250551040010</v>
      </c>
      <c r="C104" s="13" t="s">
        <v>159</v>
      </c>
      <c r="D104" s="14" t="s">
        <v>60</v>
      </c>
      <c r="E104" s="11">
        <v>0</v>
      </c>
      <c r="F104" s="15">
        <v>90</v>
      </c>
      <c r="G104" s="15">
        <v>135</v>
      </c>
      <c r="H104" s="15">
        <v>225</v>
      </c>
      <c r="I104" s="15" t="s">
        <v>14</v>
      </c>
      <c r="J104" s="15" t="s">
        <v>165</v>
      </c>
    </row>
    <row r="105" spans="1:25" ht="18" customHeight="1" x14ac:dyDescent="0.25">
      <c r="A105" s="11">
        <f t="shared" si="1"/>
        <v>100</v>
      </c>
      <c r="B105" s="12">
        <v>250551040010</v>
      </c>
      <c r="C105" s="13" t="s">
        <v>87</v>
      </c>
      <c r="D105" s="14" t="s">
        <v>13</v>
      </c>
      <c r="E105" s="11">
        <v>2</v>
      </c>
      <c r="F105" s="15">
        <v>50</v>
      </c>
      <c r="G105" s="15">
        <v>170</v>
      </c>
      <c r="H105" s="15">
        <v>220</v>
      </c>
      <c r="I105" s="15" t="s">
        <v>14</v>
      </c>
      <c r="J105" s="15" t="s">
        <v>165</v>
      </c>
    </row>
    <row r="106" spans="1:25" ht="18" customHeight="1" x14ac:dyDescent="0.25">
      <c r="A106" s="11">
        <f t="shared" si="1"/>
        <v>101</v>
      </c>
      <c r="B106" s="12">
        <v>250551040010</v>
      </c>
      <c r="C106" s="13" t="s">
        <v>19</v>
      </c>
      <c r="D106" s="14" t="s">
        <v>13</v>
      </c>
      <c r="E106" s="11">
        <v>4</v>
      </c>
      <c r="F106" s="15">
        <v>65</v>
      </c>
      <c r="G106" s="15">
        <v>150</v>
      </c>
      <c r="H106" s="15">
        <v>215</v>
      </c>
      <c r="I106" s="15" t="s">
        <v>14</v>
      </c>
      <c r="J106" s="15" t="s">
        <v>165</v>
      </c>
    </row>
    <row r="107" spans="1:25" ht="18" customHeight="1" x14ac:dyDescent="0.25">
      <c r="A107" s="11">
        <f t="shared" si="1"/>
        <v>102</v>
      </c>
      <c r="B107" s="12">
        <v>250551040010</v>
      </c>
      <c r="C107" s="13" t="s">
        <v>31</v>
      </c>
      <c r="D107" s="14" t="s">
        <v>13</v>
      </c>
      <c r="E107" s="11">
        <v>4</v>
      </c>
      <c r="F107" s="15">
        <v>70</v>
      </c>
      <c r="G107" s="15">
        <v>140</v>
      </c>
      <c r="H107" s="15">
        <v>210</v>
      </c>
      <c r="I107" s="15" t="s">
        <v>14</v>
      </c>
      <c r="J107" s="15" t="s">
        <v>165</v>
      </c>
    </row>
    <row r="108" spans="1:25" ht="18" customHeight="1" x14ac:dyDescent="0.25">
      <c r="A108" s="11">
        <f t="shared" si="1"/>
        <v>103</v>
      </c>
      <c r="B108" s="12">
        <v>250551040010</v>
      </c>
      <c r="C108" s="13" t="s">
        <v>68</v>
      </c>
      <c r="D108" s="14" t="s">
        <v>60</v>
      </c>
      <c r="E108" s="11">
        <v>4</v>
      </c>
      <c r="F108" s="15">
        <v>25</v>
      </c>
      <c r="G108" s="15">
        <v>185</v>
      </c>
      <c r="H108" s="15">
        <v>210</v>
      </c>
      <c r="I108" s="15" t="s">
        <v>14</v>
      </c>
      <c r="J108" s="15" t="s">
        <v>165</v>
      </c>
      <c r="Q108" s="16" t="s">
        <v>3</v>
      </c>
      <c r="R108" s="16">
        <v>1</v>
      </c>
      <c r="S108" s="16">
        <v>2</v>
      </c>
      <c r="T108" s="16">
        <v>3</v>
      </c>
      <c r="U108" s="16">
        <v>4</v>
      </c>
      <c r="V108" s="16">
        <v>5</v>
      </c>
      <c r="W108" s="16">
        <v>6</v>
      </c>
      <c r="X108" s="16">
        <v>7</v>
      </c>
      <c r="Y108" s="16" t="s">
        <v>123</v>
      </c>
    </row>
    <row r="109" spans="1:25" ht="18" customHeight="1" x14ac:dyDescent="0.25">
      <c r="A109" s="11">
        <f t="shared" si="1"/>
        <v>104</v>
      </c>
      <c r="B109" s="12">
        <v>250551040010</v>
      </c>
      <c r="C109" s="13" t="s">
        <v>94</v>
      </c>
      <c r="D109" s="14" t="s">
        <v>13</v>
      </c>
      <c r="E109" s="11">
        <v>2</v>
      </c>
      <c r="F109" s="15">
        <v>70</v>
      </c>
      <c r="G109" s="15">
        <v>140</v>
      </c>
      <c r="H109" s="15">
        <v>210</v>
      </c>
      <c r="I109" s="15" t="s">
        <v>14</v>
      </c>
      <c r="J109" s="15" t="s">
        <v>165</v>
      </c>
      <c r="Q109" s="11" t="s">
        <v>13</v>
      </c>
      <c r="R109" s="11">
        <f>COUNTIFS($D$99:$D$143,$Q109,$I$99:$I$143,"Level 1")</f>
        <v>10</v>
      </c>
      <c r="S109" s="11">
        <f>COUNTIFS($D$99:$D$143,$Q109,$I$99:$I$143,"Level 2")</f>
        <v>0</v>
      </c>
      <c r="T109" s="11">
        <f>COUNTIFS($D$99:$D$143,$Q109,$I$99:$I$143,"Level 3")</f>
        <v>0</v>
      </c>
      <c r="U109" s="11">
        <f>COUNTIFS($D$99:$D$143,$Q109,$I$99:$I$143,"Level 4")</f>
        <v>0</v>
      </c>
      <c r="V109" s="11">
        <f>COUNTIFS($D$99:$D$143,$Q109,$I$99:$I$143,"Level 5")</f>
        <v>0</v>
      </c>
      <c r="W109" s="11">
        <f>COUNTIFS($D$99:$D$143,$Q109,$I$99:$I$143,"Level 6")</f>
        <v>0</v>
      </c>
      <c r="X109" s="11">
        <f>COUNTIFS($D$99:$D$143,$Q109,$I$99:$I$143,"Level 7")</f>
        <v>0</v>
      </c>
      <c r="Y109" s="11">
        <f>SUM(R109:X109)</f>
        <v>10</v>
      </c>
    </row>
    <row r="110" spans="1:25" ht="18" customHeight="1" x14ac:dyDescent="0.25">
      <c r="A110" s="11">
        <f t="shared" si="1"/>
        <v>105</v>
      </c>
      <c r="B110" s="12">
        <v>250551040010</v>
      </c>
      <c r="C110" s="13" t="s">
        <v>30</v>
      </c>
      <c r="D110" s="14" t="s">
        <v>13</v>
      </c>
      <c r="E110" s="11">
        <v>4</v>
      </c>
      <c r="F110" s="15">
        <v>95</v>
      </c>
      <c r="G110" s="15">
        <v>110</v>
      </c>
      <c r="H110" s="15">
        <v>205</v>
      </c>
      <c r="I110" s="15" t="s">
        <v>14</v>
      </c>
      <c r="J110" s="15" t="s">
        <v>165</v>
      </c>
      <c r="Q110" s="11" t="s">
        <v>34</v>
      </c>
      <c r="R110" s="11">
        <f>COUNTIFS($D$99:$D$143,$Q110,$I$99:$I$143,"Level 1")</f>
        <v>7</v>
      </c>
      <c r="S110" s="11">
        <f>COUNTIFS($D$99:$D$143,$Q110,$I$99:$I$143,"Level 2")</f>
        <v>0</v>
      </c>
      <c r="T110" s="11">
        <f>COUNTIFS($D$99:$D$143,$Q110,$I$99:$I$143,"Level 3")</f>
        <v>0</v>
      </c>
      <c r="U110" s="11">
        <f>COUNTIFS($D$99:$D$143,$Q110,$I$99:$I$143,"Level 4")</f>
        <v>0</v>
      </c>
      <c r="V110" s="11">
        <f>COUNTIFS($D$99:$D$143,$Q110,$I$99:$I$143,"Level 5")</f>
        <v>0</v>
      </c>
      <c r="W110" s="11">
        <f>COUNTIFS($D$99:$D$143,$Q110,$I$99:$I$143,"Level 6")</f>
        <v>0</v>
      </c>
      <c r="X110" s="11">
        <f>COUNTIFS($D$99:$D$143,$Q110,$I$99:$I$143,"Level 7")</f>
        <v>0</v>
      </c>
      <c r="Y110" s="11">
        <f t="shared" ref="Y110:Y111" si="2">SUM(R110:X110)</f>
        <v>7</v>
      </c>
    </row>
    <row r="111" spans="1:25" ht="18" customHeight="1" x14ac:dyDescent="0.25">
      <c r="A111" s="11">
        <f t="shared" si="1"/>
        <v>106</v>
      </c>
      <c r="B111" s="12">
        <v>250551040010</v>
      </c>
      <c r="C111" s="13" t="s">
        <v>112</v>
      </c>
      <c r="D111" s="14" t="s">
        <v>60</v>
      </c>
      <c r="E111" s="11">
        <v>2</v>
      </c>
      <c r="F111" s="15">
        <v>65</v>
      </c>
      <c r="G111" s="15">
        <v>140</v>
      </c>
      <c r="H111" s="15">
        <v>205</v>
      </c>
      <c r="I111" s="15" t="s">
        <v>14</v>
      </c>
      <c r="J111" s="15" t="s">
        <v>165</v>
      </c>
      <c r="Q111" s="11" t="s">
        <v>60</v>
      </c>
      <c r="R111" s="11">
        <f>COUNTIFS($D$99:$D$143,$Q111,$I$99:$I$143,"Level 1")</f>
        <v>22</v>
      </c>
      <c r="S111" s="11">
        <f>COUNTIFS($D$99:$D$143,$Q111,$I$99:$I$143,"Level 2")</f>
        <v>0</v>
      </c>
      <c r="T111" s="11">
        <f>COUNTIFS($D$99:$D$143,$Q111,$I$99:$I$143,"Level 3")</f>
        <v>0</v>
      </c>
      <c r="U111" s="11">
        <f>COUNTIFS($D$99:$D$143,$Q111,$I$99:$I$143,"Level 4")</f>
        <v>0</v>
      </c>
      <c r="V111" s="11">
        <f>COUNTIFS($D$99:$D$143,$Q111,$I$99:$I$143,"Level 5")</f>
        <v>0</v>
      </c>
      <c r="W111" s="11">
        <f>COUNTIFS($D$99:$D$143,$Q111,$I$99:$I$143,"Level 6")</f>
        <v>0</v>
      </c>
      <c r="X111" s="11">
        <f>COUNTIFS($D$99:$D$143,$Q111,$I$99:$I$143,"Level 7")</f>
        <v>0</v>
      </c>
      <c r="Y111" s="11">
        <f t="shared" si="2"/>
        <v>22</v>
      </c>
    </row>
    <row r="112" spans="1:25" ht="18" customHeight="1" x14ac:dyDescent="0.25">
      <c r="A112" s="11">
        <f t="shared" si="1"/>
        <v>107</v>
      </c>
      <c r="B112" s="12">
        <v>250551040010</v>
      </c>
      <c r="C112" s="13" t="s">
        <v>150</v>
      </c>
      <c r="D112" s="14" t="s">
        <v>60</v>
      </c>
      <c r="E112" s="11">
        <v>0</v>
      </c>
      <c r="F112" s="15">
        <v>60</v>
      </c>
      <c r="G112" s="15">
        <v>145</v>
      </c>
      <c r="H112" s="15">
        <v>205</v>
      </c>
      <c r="I112" s="15" t="s">
        <v>14</v>
      </c>
      <c r="J112" s="15" t="s">
        <v>165</v>
      </c>
      <c r="Q112" s="16" t="s">
        <v>128</v>
      </c>
      <c r="R112" s="16">
        <f>SUM(R109:R111)</f>
        <v>39</v>
      </c>
      <c r="S112" s="16">
        <f t="shared" ref="S112:Y112" si="3">SUM(S109:S111)</f>
        <v>0</v>
      </c>
      <c r="T112" s="16">
        <f t="shared" si="3"/>
        <v>0</v>
      </c>
      <c r="U112" s="16">
        <f t="shared" si="3"/>
        <v>0</v>
      </c>
      <c r="V112" s="16">
        <f t="shared" si="3"/>
        <v>0</v>
      </c>
      <c r="W112" s="16">
        <f t="shared" si="3"/>
        <v>0</v>
      </c>
      <c r="X112" s="16">
        <f t="shared" si="3"/>
        <v>0</v>
      </c>
      <c r="Y112" s="16">
        <f t="shared" si="3"/>
        <v>39</v>
      </c>
    </row>
    <row r="113" spans="1:10" ht="18" customHeight="1" x14ac:dyDescent="0.25">
      <c r="A113" s="11">
        <f t="shared" si="1"/>
        <v>108</v>
      </c>
      <c r="B113" s="12">
        <v>250551040010</v>
      </c>
      <c r="C113" s="13" t="s">
        <v>155</v>
      </c>
      <c r="D113" s="14" t="s">
        <v>60</v>
      </c>
      <c r="E113" s="11">
        <v>0</v>
      </c>
      <c r="F113" s="15">
        <v>65</v>
      </c>
      <c r="G113" s="15">
        <v>140</v>
      </c>
      <c r="H113" s="15">
        <v>205</v>
      </c>
      <c r="I113" s="15" t="s">
        <v>14</v>
      </c>
      <c r="J113" s="15" t="s">
        <v>165</v>
      </c>
    </row>
    <row r="114" spans="1:10" ht="18" customHeight="1" x14ac:dyDescent="0.25">
      <c r="A114" s="11">
        <f t="shared" si="1"/>
        <v>109</v>
      </c>
      <c r="B114" s="12">
        <v>250551040010</v>
      </c>
      <c r="C114" s="13" t="s">
        <v>76</v>
      </c>
      <c r="D114" s="14" t="s">
        <v>60</v>
      </c>
      <c r="E114" s="11">
        <v>4</v>
      </c>
      <c r="F114" s="15">
        <v>35</v>
      </c>
      <c r="G114" s="15">
        <v>165</v>
      </c>
      <c r="H114" s="15">
        <v>200</v>
      </c>
      <c r="I114" s="15" t="s">
        <v>14</v>
      </c>
      <c r="J114" s="15" t="s">
        <v>165</v>
      </c>
    </row>
    <row r="115" spans="1:10" ht="18" customHeight="1" x14ac:dyDescent="0.25">
      <c r="A115" s="11">
        <f t="shared" si="1"/>
        <v>110</v>
      </c>
      <c r="B115" s="12">
        <v>250551040010</v>
      </c>
      <c r="C115" s="13" t="s">
        <v>107</v>
      </c>
      <c r="D115" s="14" t="s">
        <v>60</v>
      </c>
      <c r="E115" s="11">
        <v>2</v>
      </c>
      <c r="F115" s="15">
        <v>70</v>
      </c>
      <c r="G115" s="15">
        <v>130</v>
      </c>
      <c r="H115" s="15">
        <v>200</v>
      </c>
      <c r="I115" s="15" t="s">
        <v>14</v>
      </c>
      <c r="J115" s="15" t="s">
        <v>165</v>
      </c>
    </row>
    <row r="116" spans="1:10" ht="18" customHeight="1" x14ac:dyDescent="0.25">
      <c r="A116" s="11">
        <f t="shared" si="1"/>
        <v>111</v>
      </c>
      <c r="B116" s="12">
        <v>250551040010</v>
      </c>
      <c r="C116" s="13" t="s">
        <v>136</v>
      </c>
      <c r="D116" s="14" t="s">
        <v>34</v>
      </c>
      <c r="E116" s="11">
        <v>0</v>
      </c>
      <c r="F116" s="15">
        <v>125</v>
      </c>
      <c r="G116" s="15">
        <v>70</v>
      </c>
      <c r="H116" s="15">
        <v>195</v>
      </c>
      <c r="I116" s="15" t="s">
        <v>14</v>
      </c>
      <c r="J116" s="15" t="s">
        <v>165</v>
      </c>
    </row>
    <row r="117" spans="1:10" ht="18" customHeight="1" x14ac:dyDescent="0.25">
      <c r="A117" s="11">
        <f t="shared" si="1"/>
        <v>112</v>
      </c>
      <c r="B117" s="12">
        <v>250551040010</v>
      </c>
      <c r="C117" s="13" t="s">
        <v>158</v>
      </c>
      <c r="D117" s="14" t="s">
        <v>60</v>
      </c>
      <c r="E117" s="11">
        <v>0</v>
      </c>
      <c r="F117" s="15">
        <v>25</v>
      </c>
      <c r="G117" s="15">
        <v>170</v>
      </c>
      <c r="H117" s="15">
        <v>195</v>
      </c>
      <c r="I117" s="15" t="s">
        <v>14</v>
      </c>
      <c r="J117" s="15" t="s">
        <v>165</v>
      </c>
    </row>
    <row r="118" spans="1:10" ht="18" customHeight="1" x14ac:dyDescent="0.25">
      <c r="A118" s="11">
        <f t="shared" si="1"/>
        <v>113</v>
      </c>
      <c r="B118" s="12">
        <v>250551040010</v>
      </c>
      <c r="C118" s="13" t="s">
        <v>66</v>
      </c>
      <c r="D118" s="14" t="s">
        <v>60</v>
      </c>
      <c r="E118" s="11">
        <v>4</v>
      </c>
      <c r="F118" s="15">
        <v>45</v>
      </c>
      <c r="G118" s="15">
        <v>145</v>
      </c>
      <c r="H118" s="15">
        <v>190</v>
      </c>
      <c r="I118" s="15" t="s">
        <v>14</v>
      </c>
      <c r="J118" s="15" t="s">
        <v>165</v>
      </c>
    </row>
    <row r="119" spans="1:10" ht="18" customHeight="1" x14ac:dyDescent="0.25">
      <c r="A119" s="11">
        <f t="shared" si="1"/>
        <v>114</v>
      </c>
      <c r="B119" s="12">
        <v>250551040010</v>
      </c>
      <c r="C119" s="13" t="s">
        <v>126</v>
      </c>
      <c r="D119" s="14" t="s">
        <v>13</v>
      </c>
      <c r="E119" s="11">
        <v>0</v>
      </c>
      <c r="F119" s="15">
        <v>65</v>
      </c>
      <c r="G119" s="15">
        <v>125</v>
      </c>
      <c r="H119" s="15">
        <v>190</v>
      </c>
      <c r="I119" s="15" t="s">
        <v>14</v>
      </c>
      <c r="J119" s="15" t="s">
        <v>165</v>
      </c>
    </row>
    <row r="120" spans="1:10" ht="18" customHeight="1" x14ac:dyDescent="0.25">
      <c r="A120" s="11">
        <f t="shared" si="1"/>
        <v>115</v>
      </c>
      <c r="B120" s="12">
        <v>250551040010</v>
      </c>
      <c r="C120" s="13" t="s">
        <v>79</v>
      </c>
      <c r="D120" s="14" t="s">
        <v>60</v>
      </c>
      <c r="E120" s="11">
        <v>4</v>
      </c>
      <c r="F120" s="15">
        <v>65</v>
      </c>
      <c r="G120" s="15">
        <v>120</v>
      </c>
      <c r="H120" s="15">
        <v>185</v>
      </c>
      <c r="I120" s="15" t="s">
        <v>14</v>
      </c>
      <c r="J120" s="15" t="s">
        <v>165</v>
      </c>
    </row>
    <row r="121" spans="1:10" ht="18" customHeight="1" x14ac:dyDescent="0.25">
      <c r="A121" s="11">
        <f t="shared" si="1"/>
        <v>116</v>
      </c>
      <c r="B121" s="12">
        <v>250551040010</v>
      </c>
      <c r="C121" s="13" t="s">
        <v>17</v>
      </c>
      <c r="D121" s="14" t="s">
        <v>13</v>
      </c>
      <c r="E121" s="11">
        <v>4</v>
      </c>
      <c r="F121" s="15">
        <v>30</v>
      </c>
      <c r="G121" s="15">
        <v>150</v>
      </c>
      <c r="H121" s="15">
        <v>180</v>
      </c>
      <c r="I121" s="15" t="s">
        <v>14</v>
      </c>
      <c r="J121" s="15" t="s">
        <v>165</v>
      </c>
    </row>
    <row r="122" spans="1:10" ht="18" customHeight="1" x14ac:dyDescent="0.25">
      <c r="A122" s="11">
        <f t="shared" si="1"/>
        <v>117</v>
      </c>
      <c r="B122" s="12">
        <v>250551040010</v>
      </c>
      <c r="C122" s="13" t="s">
        <v>74</v>
      </c>
      <c r="D122" s="14" t="s">
        <v>60</v>
      </c>
      <c r="E122" s="11">
        <v>4</v>
      </c>
      <c r="F122" s="15">
        <v>30</v>
      </c>
      <c r="G122" s="15">
        <v>150</v>
      </c>
      <c r="H122" s="15">
        <v>180</v>
      </c>
      <c r="I122" s="15" t="s">
        <v>14</v>
      </c>
      <c r="J122" s="15" t="s">
        <v>165</v>
      </c>
    </row>
    <row r="123" spans="1:10" ht="18" customHeight="1" x14ac:dyDescent="0.25">
      <c r="A123" s="11">
        <f t="shared" si="1"/>
        <v>118</v>
      </c>
      <c r="B123" s="12">
        <v>250551040010</v>
      </c>
      <c r="C123" s="13" t="s">
        <v>78</v>
      </c>
      <c r="D123" s="14" t="s">
        <v>60</v>
      </c>
      <c r="E123" s="11">
        <v>4</v>
      </c>
      <c r="F123" s="15">
        <v>25</v>
      </c>
      <c r="G123" s="15">
        <v>150</v>
      </c>
      <c r="H123" s="15">
        <v>175</v>
      </c>
      <c r="I123" s="15" t="s">
        <v>14</v>
      </c>
      <c r="J123" s="15" t="s">
        <v>165</v>
      </c>
    </row>
    <row r="124" spans="1:10" ht="18" customHeight="1" x14ac:dyDescent="0.25">
      <c r="A124" s="11">
        <f t="shared" si="1"/>
        <v>119</v>
      </c>
      <c r="B124" s="12">
        <v>250551040010</v>
      </c>
      <c r="C124" s="13" t="s">
        <v>39</v>
      </c>
      <c r="D124" s="14" t="s">
        <v>34</v>
      </c>
      <c r="E124" s="11">
        <v>4</v>
      </c>
      <c r="F124" s="15">
        <v>30</v>
      </c>
      <c r="G124" s="15">
        <v>140</v>
      </c>
      <c r="H124" s="15">
        <v>170</v>
      </c>
      <c r="I124" s="15" t="s">
        <v>14</v>
      </c>
      <c r="J124" s="15" t="s">
        <v>165</v>
      </c>
    </row>
    <row r="125" spans="1:10" ht="18" customHeight="1" x14ac:dyDescent="0.25">
      <c r="A125" s="11">
        <f t="shared" si="1"/>
        <v>120</v>
      </c>
      <c r="B125" s="12"/>
      <c r="C125" s="13" t="s">
        <v>144</v>
      </c>
      <c r="D125" s="14" t="s">
        <v>60</v>
      </c>
      <c r="E125" s="11">
        <v>0</v>
      </c>
      <c r="F125" s="15">
        <v>50</v>
      </c>
      <c r="G125" s="15">
        <v>120</v>
      </c>
      <c r="H125" s="15">
        <v>170</v>
      </c>
      <c r="I125" s="15" t="s">
        <v>14</v>
      </c>
      <c r="J125" s="15" t="s">
        <v>165</v>
      </c>
    </row>
    <row r="126" spans="1:10" ht="18" customHeight="1" x14ac:dyDescent="0.25">
      <c r="A126" s="11">
        <f t="shared" si="1"/>
        <v>121</v>
      </c>
      <c r="B126" s="12">
        <v>250551040010</v>
      </c>
      <c r="C126" s="13" t="s">
        <v>160</v>
      </c>
      <c r="D126" s="14" t="s">
        <v>60</v>
      </c>
      <c r="E126" s="11">
        <v>0</v>
      </c>
      <c r="F126" s="15">
        <v>35</v>
      </c>
      <c r="G126" s="15">
        <v>135</v>
      </c>
      <c r="H126" s="15">
        <v>170</v>
      </c>
      <c r="I126" s="15" t="s">
        <v>14</v>
      </c>
      <c r="J126" s="15" t="s">
        <v>165</v>
      </c>
    </row>
    <row r="127" spans="1:10" ht="18" customHeight="1" x14ac:dyDescent="0.25">
      <c r="A127" s="11">
        <f t="shared" si="1"/>
        <v>122</v>
      </c>
      <c r="B127" s="12"/>
      <c r="C127" s="13" t="s">
        <v>29</v>
      </c>
      <c r="D127" s="14" t="s">
        <v>13</v>
      </c>
      <c r="E127" s="11">
        <v>4</v>
      </c>
      <c r="F127" s="15">
        <v>50</v>
      </c>
      <c r="G127" s="15">
        <v>115</v>
      </c>
      <c r="H127" s="15">
        <v>165</v>
      </c>
      <c r="I127" s="15" t="s">
        <v>14</v>
      </c>
      <c r="J127" s="15" t="s">
        <v>165</v>
      </c>
    </row>
    <row r="128" spans="1:10" ht="18" customHeight="1" x14ac:dyDescent="0.25">
      <c r="A128" s="11">
        <f t="shared" si="1"/>
        <v>123</v>
      </c>
      <c r="B128" s="12">
        <v>250551040010</v>
      </c>
      <c r="C128" s="13" t="s">
        <v>53</v>
      </c>
      <c r="D128" s="14" t="s">
        <v>34</v>
      </c>
      <c r="E128" s="11">
        <v>4</v>
      </c>
      <c r="F128" s="15">
        <v>95</v>
      </c>
      <c r="G128" s="15">
        <v>70</v>
      </c>
      <c r="H128" s="15">
        <v>165</v>
      </c>
      <c r="I128" s="15" t="s">
        <v>14</v>
      </c>
      <c r="J128" s="15" t="s">
        <v>165</v>
      </c>
    </row>
    <row r="129" spans="1:10" ht="18" customHeight="1" x14ac:dyDescent="0.25">
      <c r="A129" s="11">
        <f t="shared" si="1"/>
        <v>124</v>
      </c>
      <c r="B129" s="12">
        <v>250551040010</v>
      </c>
      <c r="C129" s="13" t="s">
        <v>138</v>
      </c>
      <c r="D129" s="14" t="s">
        <v>34</v>
      </c>
      <c r="E129" s="11">
        <v>0</v>
      </c>
      <c r="F129" s="15">
        <v>45</v>
      </c>
      <c r="G129" s="15">
        <v>115</v>
      </c>
      <c r="H129" s="15">
        <v>160</v>
      </c>
      <c r="I129" s="15" t="s">
        <v>14</v>
      </c>
      <c r="J129" s="15" t="s">
        <v>165</v>
      </c>
    </row>
    <row r="130" spans="1:10" ht="18" customHeight="1" x14ac:dyDescent="0.25">
      <c r="A130" s="11">
        <f t="shared" si="1"/>
        <v>125</v>
      </c>
      <c r="B130" s="12">
        <v>250551040010</v>
      </c>
      <c r="C130" s="13" t="s">
        <v>145</v>
      </c>
      <c r="D130" s="14" t="s">
        <v>60</v>
      </c>
      <c r="E130" s="11">
        <v>0</v>
      </c>
      <c r="F130" s="15">
        <v>50</v>
      </c>
      <c r="G130" s="15">
        <v>110</v>
      </c>
      <c r="H130" s="15">
        <v>160</v>
      </c>
      <c r="I130" s="15" t="s">
        <v>14</v>
      </c>
      <c r="J130" s="15" t="s">
        <v>165</v>
      </c>
    </row>
    <row r="131" spans="1:10" ht="18" customHeight="1" x14ac:dyDescent="0.25">
      <c r="A131" s="11">
        <f t="shared" si="1"/>
        <v>126</v>
      </c>
      <c r="B131" s="12">
        <v>250551040010</v>
      </c>
      <c r="C131" s="13" t="s">
        <v>149</v>
      </c>
      <c r="D131" s="14" t="s">
        <v>60</v>
      </c>
      <c r="E131" s="11">
        <v>0</v>
      </c>
      <c r="F131" s="15">
        <v>90</v>
      </c>
      <c r="G131" s="15">
        <v>70</v>
      </c>
      <c r="H131" s="15">
        <v>160</v>
      </c>
      <c r="I131" s="15" t="s">
        <v>14</v>
      </c>
      <c r="J131" s="15" t="s">
        <v>165</v>
      </c>
    </row>
    <row r="132" spans="1:10" ht="18" customHeight="1" x14ac:dyDescent="0.25">
      <c r="A132" s="11">
        <f t="shared" si="1"/>
        <v>127</v>
      </c>
      <c r="B132" s="12">
        <v>250551040010</v>
      </c>
      <c r="C132" s="13" t="s">
        <v>156</v>
      </c>
      <c r="D132" s="14" t="s">
        <v>60</v>
      </c>
      <c r="E132" s="11">
        <v>0</v>
      </c>
      <c r="F132" s="15">
        <v>30</v>
      </c>
      <c r="G132" s="15">
        <v>130</v>
      </c>
      <c r="H132" s="15">
        <v>160</v>
      </c>
      <c r="I132" s="15" t="s">
        <v>14</v>
      </c>
      <c r="J132" s="15" t="s">
        <v>165</v>
      </c>
    </row>
    <row r="133" spans="1:10" ht="18" customHeight="1" x14ac:dyDescent="0.25">
      <c r="A133" s="11">
        <f t="shared" si="1"/>
        <v>128</v>
      </c>
      <c r="B133" s="12">
        <v>250551040010</v>
      </c>
      <c r="C133" s="13" t="s">
        <v>36</v>
      </c>
      <c r="D133" s="14" t="s">
        <v>34</v>
      </c>
      <c r="E133" s="11">
        <v>4</v>
      </c>
      <c r="F133" s="15">
        <v>35</v>
      </c>
      <c r="G133" s="15">
        <v>120</v>
      </c>
      <c r="H133" s="15">
        <v>155</v>
      </c>
      <c r="I133" s="15" t="s">
        <v>14</v>
      </c>
      <c r="J133" s="15" t="s">
        <v>165</v>
      </c>
    </row>
    <row r="134" spans="1:10" ht="18" customHeight="1" x14ac:dyDescent="0.25">
      <c r="A134" s="11">
        <f t="shared" si="1"/>
        <v>129</v>
      </c>
      <c r="B134" s="12">
        <v>250551040010</v>
      </c>
      <c r="C134" s="13" t="s">
        <v>119</v>
      </c>
      <c r="D134" s="14" t="s">
        <v>13</v>
      </c>
      <c r="E134" s="11">
        <v>0</v>
      </c>
      <c r="F134" s="15">
        <v>10</v>
      </c>
      <c r="G134" s="15">
        <v>135</v>
      </c>
      <c r="H134" s="15">
        <v>145</v>
      </c>
      <c r="I134" s="15" t="s">
        <v>14</v>
      </c>
      <c r="J134" s="15" t="s">
        <v>165</v>
      </c>
    </row>
    <row r="135" spans="1:10" ht="18" customHeight="1" x14ac:dyDescent="0.25">
      <c r="A135" s="11">
        <f t="shared" ref="A135:A146" si="4">A134+1</f>
        <v>130</v>
      </c>
      <c r="B135" s="12">
        <v>250551040010</v>
      </c>
      <c r="C135" s="13" t="s">
        <v>12</v>
      </c>
      <c r="D135" s="14" t="s">
        <v>13</v>
      </c>
      <c r="E135" s="11">
        <v>4</v>
      </c>
      <c r="F135" s="15">
        <v>35</v>
      </c>
      <c r="G135" s="15">
        <v>100</v>
      </c>
      <c r="H135" s="15">
        <v>135</v>
      </c>
      <c r="I135" s="15" t="s">
        <v>14</v>
      </c>
      <c r="J135" s="15" t="s">
        <v>165</v>
      </c>
    </row>
    <row r="136" spans="1:10" ht="18" customHeight="1" x14ac:dyDescent="0.25">
      <c r="A136" s="11">
        <f t="shared" si="4"/>
        <v>131</v>
      </c>
      <c r="B136" s="12">
        <v>250551040010</v>
      </c>
      <c r="C136" s="13" t="s">
        <v>47</v>
      </c>
      <c r="D136" s="14" t="s">
        <v>34</v>
      </c>
      <c r="E136" s="11">
        <v>4</v>
      </c>
      <c r="F136" s="15">
        <v>20</v>
      </c>
      <c r="G136" s="15">
        <v>95</v>
      </c>
      <c r="H136" s="15">
        <v>115</v>
      </c>
      <c r="I136" s="15" t="s">
        <v>14</v>
      </c>
      <c r="J136" s="15" t="s">
        <v>165</v>
      </c>
    </row>
    <row r="137" spans="1:10" ht="18" customHeight="1" x14ac:dyDescent="0.25">
      <c r="A137" s="11">
        <f t="shared" si="4"/>
        <v>132</v>
      </c>
      <c r="B137" s="12">
        <v>250551040010</v>
      </c>
      <c r="C137" s="13" t="s">
        <v>147</v>
      </c>
      <c r="D137" s="14" t="s">
        <v>60</v>
      </c>
      <c r="E137" s="11">
        <v>0</v>
      </c>
      <c r="F137" s="15">
        <v>40</v>
      </c>
      <c r="G137" s="15">
        <v>70</v>
      </c>
      <c r="H137" s="15">
        <v>110</v>
      </c>
      <c r="I137" s="15" t="s">
        <v>14</v>
      </c>
      <c r="J137" s="15" t="s">
        <v>165</v>
      </c>
    </row>
    <row r="138" spans="1:10" ht="18" customHeight="1" x14ac:dyDescent="0.25">
      <c r="A138" s="11">
        <f t="shared" si="4"/>
        <v>133</v>
      </c>
      <c r="B138" s="12">
        <v>250551040010</v>
      </c>
      <c r="C138" s="13" t="s">
        <v>46</v>
      </c>
      <c r="D138" s="14" t="s">
        <v>34</v>
      </c>
      <c r="E138" s="11">
        <v>4</v>
      </c>
      <c r="F138" s="15">
        <v>0</v>
      </c>
      <c r="G138" s="15">
        <v>0</v>
      </c>
      <c r="H138" s="15">
        <v>0</v>
      </c>
      <c r="I138" s="15" t="s">
        <v>169</v>
      </c>
      <c r="J138" s="15" t="s">
        <v>169</v>
      </c>
    </row>
    <row r="139" spans="1:10" ht="18" customHeight="1" x14ac:dyDescent="0.25">
      <c r="A139" s="11">
        <f t="shared" si="4"/>
        <v>134</v>
      </c>
      <c r="B139" s="12">
        <v>250551040010</v>
      </c>
      <c r="C139" s="13" t="s">
        <v>57</v>
      </c>
      <c r="D139" s="14" t="s">
        <v>34</v>
      </c>
      <c r="E139" s="11">
        <v>4</v>
      </c>
      <c r="F139" s="15">
        <v>0</v>
      </c>
      <c r="G139" s="15">
        <v>0</v>
      </c>
      <c r="H139" s="15">
        <v>0</v>
      </c>
      <c r="I139" s="15" t="s">
        <v>169</v>
      </c>
      <c r="J139" s="15" t="s">
        <v>169</v>
      </c>
    </row>
    <row r="140" spans="1:10" ht="18" customHeight="1" x14ac:dyDescent="0.25">
      <c r="A140" s="11">
        <f t="shared" si="4"/>
        <v>135</v>
      </c>
      <c r="B140" s="12">
        <v>250551040010</v>
      </c>
      <c r="C140" s="13" t="s">
        <v>72</v>
      </c>
      <c r="D140" s="14" t="s">
        <v>60</v>
      </c>
      <c r="E140" s="11">
        <v>4</v>
      </c>
      <c r="F140" s="15">
        <v>0</v>
      </c>
      <c r="G140" s="15">
        <v>0</v>
      </c>
      <c r="H140" s="15">
        <v>0</v>
      </c>
      <c r="I140" s="15" t="s">
        <v>169</v>
      </c>
      <c r="J140" s="15" t="s">
        <v>169</v>
      </c>
    </row>
    <row r="141" spans="1:10" ht="18" customHeight="1" x14ac:dyDescent="0.25">
      <c r="A141" s="11">
        <f t="shared" si="4"/>
        <v>136</v>
      </c>
      <c r="B141" s="12">
        <v>250551040010</v>
      </c>
      <c r="C141" s="13" t="s">
        <v>73</v>
      </c>
      <c r="D141" s="14" t="s">
        <v>60</v>
      </c>
      <c r="E141" s="11">
        <v>4</v>
      </c>
      <c r="F141" s="15">
        <v>0</v>
      </c>
      <c r="G141" s="15">
        <v>0</v>
      </c>
      <c r="H141" s="15">
        <v>0</v>
      </c>
      <c r="I141" s="15" t="s">
        <v>169</v>
      </c>
      <c r="J141" s="15" t="s">
        <v>169</v>
      </c>
    </row>
    <row r="142" spans="1:10" ht="18" customHeight="1" x14ac:dyDescent="0.25">
      <c r="A142" s="11">
        <f t="shared" si="4"/>
        <v>137</v>
      </c>
      <c r="B142" s="12">
        <v>250551040010</v>
      </c>
      <c r="C142" s="13" t="s">
        <v>141</v>
      </c>
      <c r="D142" s="14" t="s">
        <v>34</v>
      </c>
      <c r="E142" s="11">
        <v>0</v>
      </c>
      <c r="F142" s="15">
        <v>0</v>
      </c>
      <c r="G142" s="15">
        <v>0</v>
      </c>
      <c r="H142" s="15">
        <v>0</v>
      </c>
      <c r="I142" s="15" t="s">
        <v>169</v>
      </c>
      <c r="J142" s="15" t="s">
        <v>169</v>
      </c>
    </row>
    <row r="143" spans="1:10" ht="18" customHeight="1" x14ac:dyDescent="0.25">
      <c r="A143" s="11">
        <f t="shared" si="4"/>
        <v>138</v>
      </c>
      <c r="B143" s="12">
        <v>250551040010</v>
      </c>
      <c r="C143" s="13" t="s">
        <v>162</v>
      </c>
      <c r="D143" s="14" t="s">
        <v>60</v>
      </c>
      <c r="E143" s="11">
        <v>0</v>
      </c>
      <c r="F143" s="15">
        <v>0</v>
      </c>
      <c r="G143" s="15">
        <v>0</v>
      </c>
      <c r="H143" s="15">
        <v>0</v>
      </c>
      <c r="I143" s="15" t="s">
        <v>169</v>
      </c>
      <c r="J143" s="15" t="s">
        <v>169</v>
      </c>
    </row>
    <row r="144" spans="1:10" ht="18" customHeight="1" x14ac:dyDescent="0.25">
      <c r="A144" s="11">
        <f t="shared" si="4"/>
        <v>139</v>
      </c>
      <c r="B144" s="12">
        <v>250551040010</v>
      </c>
      <c r="C144" s="13" t="s">
        <v>143</v>
      </c>
      <c r="D144" s="14" t="s">
        <v>60</v>
      </c>
      <c r="E144" s="11">
        <v>0</v>
      </c>
      <c r="F144" s="15"/>
      <c r="G144" s="15"/>
      <c r="H144" s="15"/>
      <c r="I144" s="15"/>
      <c r="J144" s="15" t="s">
        <v>169</v>
      </c>
    </row>
    <row r="145" spans="1:2" ht="18" customHeight="1" x14ac:dyDescent="0.25">
      <c r="B145" s="12">
        <v>250551040010</v>
      </c>
    </row>
    <row r="148" spans="1:2" ht="18" customHeight="1" x14ac:dyDescent="0.25">
      <c r="A148" s="17" t="s">
        <v>163</v>
      </c>
    </row>
    <row r="149" spans="1:2" ht="18" customHeight="1" x14ac:dyDescent="0.25">
      <c r="A149" s="17" t="s">
        <v>164</v>
      </c>
    </row>
  </sheetData>
  <sortState xmlns:xlrd2="http://schemas.microsoft.com/office/spreadsheetml/2017/richdata2" ref="C6:J144">
    <sortCondition descending="1" ref="H6:H144"/>
  </sortState>
  <mergeCells count="12">
    <mergeCell ref="I4:I5"/>
    <mergeCell ref="J4:J5"/>
    <mergeCell ref="L4:L5"/>
    <mergeCell ref="M4:M5"/>
    <mergeCell ref="A1:J2"/>
    <mergeCell ref="A4:A5"/>
    <mergeCell ref="B4:B5"/>
    <mergeCell ref="C4:C5"/>
    <mergeCell ref="D4:D5"/>
    <mergeCell ref="E4:E5"/>
    <mergeCell ref="F4:G4"/>
    <mergeCell ref="H4:H5"/>
  </mergeCells>
  <printOptions horizontalCentered="1"/>
  <pageMargins left="0.11811023622047245" right="0.11811023622047245" top="0.15748031496062992" bottom="0.15748031496062992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GENAP 2026</vt:lpstr>
      <vt:lpstr>'GENAP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Nofi Cahyono</dc:creator>
  <cp:lastModifiedBy>Nofi Cahyono</cp:lastModifiedBy>
  <dcterms:created xsi:type="dcterms:W3CDTF">2026-10-14T04:15:29Z</dcterms:created>
  <dcterms:modified xsi:type="dcterms:W3CDTF">2026-10-14T04:18:02Z</dcterms:modified>
</cp:coreProperties>
</file>